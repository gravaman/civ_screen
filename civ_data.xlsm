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flei\civ_screen\"/>
    </mc:Choice>
  </mc:AlternateContent>
  <xr:revisionPtr revIDLastSave="0" documentId="13_ncr:1_{E630BEFF-1DB3-4102-B9D8-D564289F1EAE}" xr6:coauthVersionLast="45" xr6:coauthVersionMax="45" xr10:uidLastSave="{00000000-0000-0000-0000-000000000000}"/>
  <bookViews>
    <workbookView xWindow="-110" yWindow="-110" windowWidth="38620" windowHeight="21220" xr2:uid="{5ECBF76F-A794-48F9-91A3-7CC89683F2BA}"/>
  </bookViews>
  <sheets>
    <sheet name="Data" sheetId="1" r:id="rId1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1" l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4" i="1"/>
  <c r="C45" i="1"/>
  <c r="C44" i="1"/>
  <c r="C43" i="1"/>
  <c r="C42" i="1"/>
  <c r="C41" i="1"/>
  <c r="C40" i="1"/>
  <c r="C39" i="1"/>
  <c r="C38" i="1"/>
  <c r="B37" i="1"/>
  <c r="C37" i="1" s="1"/>
  <c r="B36" i="1"/>
  <c r="C36" i="1" s="1"/>
  <c r="B35" i="1"/>
  <c r="C35" i="1" s="1"/>
  <c r="B34" i="1"/>
  <c r="C34" i="1" s="1"/>
  <c r="H6" i="1" l="1"/>
  <c r="I10" i="1"/>
  <c r="H16" i="1"/>
  <c r="I6" i="1"/>
  <c r="I22" i="1"/>
  <c r="I17" i="1"/>
  <c r="H17" i="1"/>
  <c r="I16" i="1"/>
  <c r="I11" i="1"/>
  <c r="H11" i="1"/>
  <c r="H23" i="1"/>
  <c r="H22" i="1"/>
  <c r="I23" i="1"/>
  <c r="I15" i="1"/>
  <c r="I9" i="1"/>
  <c r="H15" i="1"/>
  <c r="H10" i="1"/>
  <c r="H21" i="1"/>
  <c r="I26" i="1"/>
  <c r="I25" i="1"/>
  <c r="I21" i="1"/>
  <c r="H9" i="1"/>
  <c r="I20" i="1"/>
  <c r="I14" i="1"/>
  <c r="I8" i="1"/>
  <c r="H26" i="1"/>
  <c r="H20" i="1"/>
  <c r="H14" i="1"/>
  <c r="H8" i="1"/>
  <c r="I19" i="1"/>
  <c r="I13" i="1"/>
  <c r="I7" i="1"/>
  <c r="H25" i="1"/>
  <c r="H19" i="1"/>
  <c r="H13" i="1"/>
  <c r="H7" i="1"/>
  <c r="I24" i="1"/>
  <c r="I18" i="1"/>
  <c r="I12" i="1"/>
  <c r="H24" i="1"/>
  <c r="H18" i="1"/>
  <c r="H12" i="1"/>
  <c r="I5" i="1"/>
  <c r="H5" i="1"/>
  <c r="H4" i="1"/>
  <c r="I4" i="1"/>
  <c r="J19" i="1" l="1"/>
  <c r="J6" i="1"/>
  <c r="J9" i="1"/>
  <c r="J10" i="1"/>
  <c r="J17" i="1"/>
  <c r="J18" i="1"/>
  <c r="J12" i="1"/>
  <c r="J11" i="1"/>
  <c r="J24" i="1"/>
  <c r="J22" i="1"/>
  <c r="J25" i="1"/>
  <c r="J14" i="1"/>
  <c r="J20" i="1"/>
  <c r="J15" i="1"/>
  <c r="J8" i="1"/>
  <c r="J16" i="1"/>
  <c r="J26" i="1"/>
  <c r="J7" i="1"/>
  <c r="J21" i="1"/>
  <c r="J13" i="1"/>
  <c r="J23" i="1"/>
  <c r="J5" i="1"/>
  <c r="J4" i="1"/>
  <c r="L69" i="1" l="1"/>
  <c r="D69" i="1"/>
  <c r="I69" i="1"/>
  <c r="K69" i="1"/>
  <c r="O68" i="1"/>
  <c r="D68" i="1"/>
  <c r="I68" i="1"/>
  <c r="O67" i="1"/>
  <c r="N67" i="1"/>
  <c r="P67" i="1"/>
  <c r="C67" i="1"/>
  <c r="D67" i="1"/>
  <c r="I67" i="1"/>
  <c r="K67" i="1"/>
  <c r="P66" i="1"/>
  <c r="P64" i="1"/>
  <c r="D66" i="1"/>
  <c r="I66" i="1"/>
  <c r="O65" i="1"/>
  <c r="D65" i="1"/>
  <c r="I65" i="1"/>
  <c r="K65" i="1"/>
  <c r="D64" i="1"/>
  <c r="I64" i="1"/>
  <c r="K64" i="1"/>
  <c r="P63" i="1"/>
  <c r="D63" i="1"/>
  <c r="I63" i="1"/>
  <c r="K63" i="1"/>
  <c r="O62" i="1"/>
  <c r="D62" i="1"/>
  <c r="I62" i="1"/>
  <c r="K62" i="1"/>
  <c r="P61" i="1"/>
  <c r="D61" i="1"/>
  <c r="I61" i="1"/>
  <c r="K61" i="1"/>
  <c r="O60" i="1"/>
  <c r="D60" i="1"/>
  <c r="I60" i="1"/>
  <c r="D59" i="1" l="1"/>
  <c r="F59" i="1" s="1"/>
  <c r="P59" i="1"/>
  <c r="G59" i="1"/>
  <c r="I59" i="1"/>
  <c r="K59" i="1"/>
  <c r="O58" i="1"/>
  <c r="D58" i="1"/>
  <c r="I58" i="1"/>
  <c r="K58" i="1"/>
  <c r="P57" i="1"/>
  <c r="G57" i="1"/>
  <c r="I57" i="1"/>
  <c r="D57" i="1"/>
  <c r="C57" i="1"/>
  <c r="F57" i="1" s="1"/>
  <c r="Q57" i="1"/>
  <c r="S57" i="1" s="1"/>
  <c r="Q58" i="1"/>
  <c r="S58" i="1" s="1"/>
  <c r="Q60" i="1"/>
  <c r="S60" i="1" s="1"/>
  <c r="Q61" i="1"/>
  <c r="S61" i="1" s="1"/>
  <c r="Q62" i="1"/>
  <c r="S62" i="1" s="1"/>
  <c r="Q63" i="1"/>
  <c r="S63" i="1" s="1"/>
  <c r="Q64" i="1"/>
  <c r="S64" i="1" s="1"/>
  <c r="Q65" i="1"/>
  <c r="S65" i="1" s="1"/>
  <c r="Q67" i="1"/>
  <c r="S67" i="1" s="1"/>
  <c r="Q68" i="1"/>
  <c r="S68" i="1" s="1"/>
  <c r="Q69" i="1"/>
  <c r="S69" i="1" s="1"/>
  <c r="O56" i="1"/>
  <c r="Q56" i="1" s="1"/>
  <c r="S56" i="1" s="1"/>
  <c r="D56" i="1"/>
  <c r="I56" i="1"/>
  <c r="D55" i="1"/>
  <c r="C55" i="1"/>
  <c r="P55" i="1"/>
  <c r="K55" i="1"/>
  <c r="C54" i="1"/>
  <c r="D54" i="1" s="1"/>
  <c r="F54" i="1" s="1"/>
  <c r="H54" i="1" s="1"/>
  <c r="J54" i="1" s="1"/>
  <c r="F56" i="1"/>
  <c r="H56" i="1" s="1"/>
  <c r="J56" i="1" s="1"/>
  <c r="F58" i="1"/>
  <c r="H58" i="1" s="1"/>
  <c r="F60" i="1"/>
  <c r="H60" i="1" s="1"/>
  <c r="J60" i="1" s="1"/>
  <c r="F61" i="1"/>
  <c r="H61" i="1" s="1"/>
  <c r="J61" i="1" s="1"/>
  <c r="F62" i="1"/>
  <c r="H62" i="1" s="1"/>
  <c r="J62" i="1" s="1"/>
  <c r="F63" i="1"/>
  <c r="H63" i="1" s="1"/>
  <c r="J63" i="1" s="1"/>
  <c r="F64" i="1"/>
  <c r="H64" i="1" s="1"/>
  <c r="J64" i="1" s="1"/>
  <c r="F65" i="1"/>
  <c r="H65" i="1" s="1"/>
  <c r="J65" i="1" s="1"/>
  <c r="F66" i="1"/>
  <c r="H66" i="1" s="1"/>
  <c r="J66" i="1" s="1"/>
  <c r="F67" i="1"/>
  <c r="H67" i="1" s="1"/>
  <c r="J67" i="1" s="1"/>
  <c r="F68" i="1"/>
  <c r="H68" i="1" s="1"/>
  <c r="J68" i="1" s="1"/>
  <c r="F69" i="1"/>
  <c r="H69" i="1" s="1"/>
  <c r="J69" i="1" s="1"/>
  <c r="P54" i="1"/>
  <c r="Q54" i="1" s="1"/>
  <c r="H59" i="1" l="1"/>
  <c r="J59" i="1" s="1"/>
  <c r="Q59" i="1"/>
  <c r="S59" i="1" s="1"/>
  <c r="J58" i="1"/>
  <c r="H57" i="1"/>
  <c r="J57" i="1" s="1"/>
  <c r="Q55" i="1"/>
  <c r="S55" i="1" s="1"/>
  <c r="F55" i="1"/>
  <c r="H55" i="1" s="1"/>
  <c r="J55" i="1" s="1"/>
  <c r="G9" i="1"/>
  <c r="K9" i="1" s="1"/>
  <c r="G8" i="1"/>
  <c r="K8" i="1" s="1"/>
  <c r="G7" i="1"/>
  <c r="K7" i="1" s="1"/>
  <c r="G25" i="1"/>
  <c r="K25" i="1" s="1"/>
  <c r="G24" i="1"/>
  <c r="K24" i="1" s="1"/>
  <c r="G23" i="1"/>
  <c r="K23" i="1" s="1"/>
  <c r="G22" i="1"/>
  <c r="K22" i="1" s="1"/>
  <c r="G21" i="1"/>
  <c r="K21" i="1" s="1"/>
  <c r="G20" i="1"/>
  <c r="K20" i="1" s="1"/>
  <c r="G19" i="1"/>
  <c r="K19" i="1" s="1"/>
  <c r="G18" i="1"/>
  <c r="K18" i="1" s="1"/>
  <c r="T56" i="1" l="1"/>
  <c r="U56" i="1" s="1"/>
  <c r="V56" i="1" s="1"/>
  <c r="M10" i="1" s="1" a="1"/>
  <c r="M10" i="1" s="1"/>
  <c r="T57" i="1"/>
  <c r="U57" i="1" s="1"/>
  <c r="V57" i="1" s="1"/>
  <c r="M11" i="1" s="1" a="1"/>
  <c r="M11" i="1" s="1"/>
  <c r="T58" i="1"/>
  <c r="U58" i="1" s="1"/>
  <c r="V58" i="1" s="1"/>
  <c r="T59" i="1"/>
  <c r="U59" i="1" s="1"/>
  <c r="V59" i="1" s="1"/>
  <c r="M14" i="1" s="1" a="1"/>
  <c r="M14" i="1" s="1"/>
  <c r="T60" i="1"/>
  <c r="U60" i="1" s="1"/>
  <c r="V60" i="1" s="1"/>
  <c r="T61" i="1"/>
  <c r="U61" i="1" s="1"/>
  <c r="V61" i="1" s="1"/>
  <c r="M18" i="1" s="1" a="1"/>
  <c r="M18" i="1" s="1"/>
  <c r="T62" i="1"/>
  <c r="U62" i="1" s="1"/>
  <c r="V62" i="1" s="1"/>
  <c r="M19" i="1" s="1" a="1"/>
  <c r="M19" i="1" s="1"/>
  <c r="T63" i="1"/>
  <c r="U63" i="1" s="1"/>
  <c r="V63" i="1" s="1"/>
  <c r="M20" i="1" s="1" a="1"/>
  <c r="M20" i="1" s="1"/>
  <c r="T64" i="1"/>
  <c r="U64" i="1" s="1"/>
  <c r="V64" i="1" s="1"/>
  <c r="M21" i="1" s="1" a="1"/>
  <c r="M21" i="1" s="1"/>
  <c r="T65" i="1"/>
  <c r="U65" i="1" s="1"/>
  <c r="V65" i="1" s="1"/>
  <c r="M22" i="1" s="1" a="1"/>
  <c r="M22" i="1" s="1"/>
  <c r="T67" i="1"/>
  <c r="U67" i="1" s="1"/>
  <c r="V67" i="1" s="1"/>
  <c r="M24" i="1" s="1" a="1"/>
  <c r="M24" i="1" s="1"/>
  <c r="T68" i="1"/>
  <c r="U68" i="1" s="1"/>
  <c r="V68" i="1" s="1"/>
  <c r="M25" i="1" s="1" a="1"/>
  <c r="M25" i="1" s="1"/>
  <c r="T55" i="1"/>
  <c r="U55" i="1" s="1"/>
  <c r="V55" i="1" s="1"/>
  <c r="T69" i="1"/>
  <c r="U69" i="1" s="1"/>
  <c r="V69" i="1" s="1"/>
  <c r="M26" i="1" s="1" a="1"/>
  <c r="M26" i="1" s="1"/>
  <c r="S54" i="1"/>
  <c r="G17" i="1"/>
  <c r="K17" i="1" s="1"/>
  <c r="L17" i="1"/>
  <c r="G16" i="1"/>
  <c r="K16" i="1" s="1"/>
  <c r="L16" i="1"/>
  <c r="G15" i="1"/>
  <c r="K15" i="1" s="1"/>
  <c r="G13" i="1"/>
  <c r="K13" i="1" s="1"/>
  <c r="L13" i="1"/>
  <c r="G12" i="1"/>
  <c r="K12" i="1" s="1"/>
  <c r="G11" i="1"/>
  <c r="K11" i="1" s="1"/>
  <c r="G10" i="1"/>
  <c r="K10" i="1" s="1"/>
  <c r="G5" i="1"/>
  <c r="K5" i="1" s="1"/>
  <c r="G4" i="1"/>
  <c r="K4" i="1" s="1"/>
  <c r="G6" i="1"/>
  <c r="K6" i="1" s="1"/>
  <c r="G26" i="1"/>
  <c r="K26" i="1" s="1"/>
  <c r="L26" i="1"/>
  <c r="G14" i="1"/>
  <c r="K14" i="1" s="1"/>
  <c r="L5" i="1"/>
  <c r="L6" i="1"/>
  <c r="L10" i="1"/>
  <c r="L11" i="1"/>
  <c r="L12" i="1"/>
  <c r="L14" i="1"/>
  <c r="L15" i="1"/>
  <c r="L18" i="1"/>
  <c r="L19" i="1"/>
  <c r="L20" i="1"/>
  <c r="L21" i="1"/>
  <c r="L22" i="1"/>
  <c r="L23" i="1"/>
  <c r="L24" i="1"/>
  <c r="L25" i="1"/>
  <c r="L7" i="1"/>
  <c r="L8" i="1"/>
  <c r="L9" i="1"/>
  <c r="L4" i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M15" i="1" l="1" a="1"/>
  <c r="M15" i="1" s="1"/>
  <c r="M17" i="1" a="1"/>
  <c r="M17" i="1" s="1"/>
  <c r="M16" i="1" a="1"/>
  <c r="M16" i="1" s="1"/>
  <c r="M7" i="1" a="1"/>
  <c r="M7" i="1" s="1"/>
  <c r="M8" i="1" a="1"/>
  <c r="M8" i="1" s="1"/>
  <c r="M9" i="1" a="1"/>
  <c r="M9" i="1" s="1"/>
  <c r="M12" i="1" a="1"/>
  <c r="M12" i="1" s="1"/>
  <c r="M13" i="1" a="1"/>
  <c r="M13" i="1" s="1"/>
  <c r="T54" i="1"/>
  <c r="U54" i="1" s="1"/>
  <c r="V54" i="1" s="1"/>
  <c r="M5" i="1" l="1" a="1"/>
  <c r="M5" i="1" s="1"/>
  <c r="M6" i="1" a="1"/>
  <c r="M6" i="1" s="1"/>
  <c r="M4" i="1" a="1"/>
  <c r="M4" i="1" s="1"/>
  <c r="Q66" i="1" l="1"/>
  <c r="S66" i="1" s="1"/>
  <c r="T66" i="1" s="1"/>
  <c r="U66" i="1" s="1"/>
  <c r="V66" i="1" s="1"/>
  <c r="M23" i="1" s="1" a="1"/>
  <c r="M2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Fleisher</author>
  </authors>
  <commentList>
    <comment ref="O56" authorId="0" shapeId="0" xr:uid="{321BBDC0-8B34-4B7B-97EB-80A6CBE48479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RSUs, PSUs, and Market-based PSUs</t>
        </r>
      </text>
    </comment>
    <comment ref="I57" authorId="0" shapeId="0" xr:uid="{369E4BD7-7668-435C-8735-3F5C73F7D1EB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unrestricted+investments in marketable securities+debt and preferred equity investments @ book+discounts and defered origination fees</t>
        </r>
      </text>
    </comment>
    <comment ref="I58" authorId="0" shapeId="0" xr:uid="{5981FC4E-53B6-4E54-A509-8F9D0A06CAB9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cash and equivalents+ RE loans</t>
        </r>
      </text>
    </comment>
    <comment ref="G59" authorId="0" shapeId="0" xr:uid="{5267C727-F8BD-4247-B176-034F24AE49E8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600k shares sold to Apollo, 600k shares sold to Silver Lake each with liquidation value of $1,000</t>
        </r>
      </text>
    </comment>
    <comment ref="I59" authorId="0" shapeId="0" xr:uid="{F1AE74C3-222A-449A-87A1-8D34635EA84E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inlcudes unrestricted cash+short-term invesetments + long-term investments @ BV</t>
        </r>
      </text>
    </comment>
    <comment ref="K59" authorId="0" shapeId="0" xr:uid="{27D370B5-B708-4A35-8FB9-DA09AC1A9862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common+class B</t>
        </r>
      </text>
    </comment>
    <comment ref="P59" authorId="0" shapeId="0" xr:uid="{51CF2AEA-4DD4-494D-81CE-C37C5A568A0E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8.4mm warrants sold to Silver Lake and Apollo with $72 strike</t>
        </r>
      </text>
    </comment>
    <comment ref="I60" authorId="0" shapeId="0" xr:uid="{DC25E33C-D532-4C22-B7E9-317CD65479E2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unrestricted cash and October 1 litigation insurance receivable @ BV</t>
        </r>
      </text>
    </comment>
    <comment ref="O60" authorId="0" shapeId="0" xr:uid="{9511CD4B-529F-4377-AB70-7CC67D88EE75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SARs outstanding</t>
        </r>
      </text>
    </comment>
    <comment ref="D61" authorId="0" shapeId="0" xr:uid="{D0EA7A54-1E80-49CF-BBCF-2F72EEDA3D46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lease liabilities</t>
        </r>
      </text>
    </comment>
    <comment ref="D62" authorId="0" shapeId="0" xr:uid="{F1588E36-CF7A-4A5F-B411-DCD83F0C0E7B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debt + operating lease liabilities</t>
        </r>
      </text>
    </comment>
    <comment ref="I62" authorId="0" shapeId="0" xr:uid="{0D285093-96E9-4A1B-B591-5EB82519504B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cash and equivalents and short-term investments + equity investments @ BV</t>
        </r>
      </text>
    </comment>
    <comment ref="O62" authorId="0" shapeId="0" xr:uid="{18B8D513-6DB7-440F-AFBF-7BB9B0BC5D6F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RSUs + PSUs</t>
        </r>
      </text>
    </comment>
    <comment ref="D64" authorId="0" shapeId="0" xr:uid="{97FD0326-155B-478B-A54C-E3BFE021AC88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operating lease liabilities + long-term US transition tax liability + long-term debt + convertible debt</t>
        </r>
      </text>
    </comment>
    <comment ref="I64" authorId="0" shapeId="0" xr:uid="{8653994B-3D57-4A9E-9A03-3D0951176C01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cash and long-term investments</t>
        </r>
      </text>
    </comment>
    <comment ref="P64" authorId="0" shapeId="0" xr:uid="{8A69ED10-B8E4-41E9-8640-D217561AF1A6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$863mm convert due May 1, 2025 with 0.75% interest rate and conversion price of $1,886.44; $1bn convert due September 15 2021 with 0.9% interest rate convertible at $2,055.5</t>
        </r>
      </text>
    </comment>
    <comment ref="D65" authorId="0" shapeId="0" xr:uid="{57C1E618-92E8-4293-A1F8-BF5701DAE758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guest loyalty liability + operating lease liability + debt</t>
        </r>
      </text>
    </comment>
    <comment ref="I65" authorId="0" shapeId="0" xr:uid="{8C6F6307-B310-4C2B-8E72-E2D6867D8AB3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cash + notes receivable</t>
        </r>
      </text>
    </comment>
    <comment ref="O65" authorId="0" shapeId="0" xr:uid="{38B006CB-D512-4A8B-B410-CC59745AF841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RSUs + PSUs</t>
        </r>
      </text>
    </comment>
    <comment ref="D66" authorId="0" shapeId="0" xr:uid="{58BA2865-B1DD-4932-A2F0-2F58769F6486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debt + operating lease liabilities</t>
        </r>
      </text>
    </comment>
    <comment ref="I66" authorId="0" shapeId="0" xr:uid="{39F2F8A7-D180-438F-908C-831CD967E766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cash + short-term investments + assets HFS @ BV</t>
        </r>
      </text>
    </comment>
    <comment ref="P66" authorId="0" shapeId="0" xr:uid="{6699B133-8E84-4ABF-B6ED-C7E8DE5E6CE0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2.5% convert notes due 2022 with $16.77 strike and 2.0% convert notes due 2022 with $20.41 strike</t>
        </r>
      </text>
    </comment>
    <comment ref="C67" authorId="0" shapeId="0" xr:uid="{D98EBBC8-E8CF-4207-BD3A-281209DB7B71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mortgage company loan facility</t>
        </r>
      </text>
    </comment>
    <comment ref="D67" authorId="0" shapeId="0" xr:uid="{25072328-8FA6-4634-AD46-0992BF4DBFE2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loans payable + senior notes</t>
        </r>
      </text>
    </comment>
    <comment ref="I67" authorId="0" shapeId="0" xr:uid="{46D1374A-EF71-4912-9C56-29B21F3D41F0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cash + mortgage loans HFS @ book</t>
        </r>
      </text>
    </comment>
    <comment ref="D68" authorId="0" shapeId="0" xr:uid="{317C1918-F2BE-4237-ABDB-A004CBE93CDB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EBO + debt + operating leases</t>
        </r>
      </text>
    </comment>
    <comment ref="C69" authorId="0" shapeId="0" xr:uid="{BB677FEC-22B1-4A5C-86E7-0671D954002B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mortgages</t>
        </r>
      </text>
    </comment>
    <comment ref="D69" authorId="0" shapeId="0" xr:uid="{8B0E04E3-4F31-4779-AAAC-CF58B6C09347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unsecured notes + unsecured revolver</t>
        </r>
      </text>
    </comment>
    <comment ref="L69" authorId="0" shapeId="0" xr:uid="{426278DB-5B4B-48BF-9457-E5DBF64FE86B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vested units + LTIP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<sst xmlns="http://schemas.openxmlformats.org/spreadsheetml/2006/main" count="97" uniqueCount="61">
  <si>
    <t>symbol</t>
  </si>
  <si>
    <t>coupon</t>
  </si>
  <si>
    <t>maturity</t>
  </si>
  <si>
    <t>price</t>
  </si>
  <si>
    <t>ytw</t>
  </si>
  <si>
    <t>T</t>
  </si>
  <si>
    <t>L</t>
  </si>
  <si>
    <t>debt</t>
  </si>
  <si>
    <t>cash</t>
  </si>
  <si>
    <t>net</t>
  </si>
  <si>
    <t>px</t>
  </si>
  <si>
    <t>equity</t>
  </si>
  <si>
    <t>ev</t>
  </si>
  <si>
    <t>id</t>
  </si>
  <si>
    <t>FUN</t>
  </si>
  <si>
    <t>NVDA</t>
  </si>
  <si>
    <t>SLG</t>
  </si>
  <si>
    <t>GLPI</t>
  </si>
  <si>
    <t>EXPE</t>
  </si>
  <si>
    <t>MGM</t>
  </si>
  <si>
    <t>MCD</t>
  </si>
  <si>
    <t>MSFT</t>
  </si>
  <si>
    <t>NFLX</t>
  </si>
  <si>
    <t>BKNG</t>
  </si>
  <si>
    <t>MAR</t>
  </si>
  <si>
    <t>NLOK</t>
  </si>
  <si>
    <t>TOL</t>
  </si>
  <si>
    <t>VZ</t>
  </si>
  <si>
    <t>SIX</t>
  </si>
  <si>
    <t>CLI</t>
  </si>
  <si>
    <t>fdso</t>
  </si>
  <si>
    <t>unsec</t>
  </si>
  <si>
    <t>basic</t>
  </si>
  <si>
    <t>deferred</t>
  </si>
  <si>
    <t>rsus</t>
  </si>
  <si>
    <t>psus</t>
  </si>
  <si>
    <t>options</t>
  </si>
  <si>
    <t>2Q20</t>
  </si>
  <si>
    <t>period</t>
  </si>
  <si>
    <t>end date</t>
  </si>
  <si>
    <t>pref</t>
  </si>
  <si>
    <t>gross</t>
  </si>
  <si>
    <t>units</t>
  </si>
  <si>
    <t>junior</t>
  </si>
  <si>
    <t>secured</t>
  </si>
  <si>
    <t>FY20</t>
  </si>
  <si>
    <t>1Q21</t>
  </si>
  <si>
    <t>3Q20</t>
  </si>
  <si>
    <t>Treasury curve</t>
  </si>
  <si>
    <t>last update:</t>
  </si>
  <si>
    <t>years</t>
  </si>
  <si>
    <t>date</t>
  </si>
  <si>
    <t>rate</t>
  </si>
  <si>
    <t>lower</t>
  </si>
  <si>
    <t>upper</t>
  </si>
  <si>
    <t>swap</t>
  </si>
  <si>
    <t>Public EV calculations</t>
  </si>
  <si>
    <r>
      <t>V</t>
    </r>
    <r>
      <rPr>
        <b/>
        <vertAlign val="subscript"/>
        <sz val="9"/>
        <color theme="1"/>
        <rFont val="Calibri"/>
        <family val="2"/>
      </rPr>
      <t>R</t>
    </r>
  </si>
  <si>
    <r>
      <t>L</t>
    </r>
    <r>
      <rPr>
        <b/>
        <vertAlign val="subscript"/>
        <sz val="9"/>
        <color theme="1"/>
        <rFont val="Calibri"/>
        <family val="2"/>
      </rPr>
      <t>R</t>
    </r>
  </si>
  <si>
    <t>STW</t>
  </si>
  <si>
    <t>ISSUANCE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</si>
</sst>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_);_(* \(#,##0\);_(* &quot;-&quot;??_);"/>
    <numFmt numFmtId="165" formatCode="_(* #,##0.00_);_(* \(#,##0.00\);_(* &quot;-&quot;??_);"/>
    <numFmt numFmtId="166" formatCode="#,##0.00000_);\(#,##0.00000\)"/>
    <numFmt numFmtId="167" formatCode="_(* #,##0.00%_);_(* \(#,##0.00\)%;_(* &quot;-&quot;??_);"/>
    <numFmt numFmtId="168" formatCode="_(* #,##0.0_);_(* \(#,##0.0\);_(* &quot;-&quot;??_);"/>
    <numFmt numFmtId="169" formatCode="_(&quot;$&quot;* #,##0.00_);_(&quot;$&quot;* \(#,##0.00\);_(&quot;$&quot;* &quot;-&quot;??_);"/>
    <numFmt numFmtId="170" formatCode="m/d/yy;@"/>
    <numFmt numFmtId="172" formatCode="[$-409]mmm\-yy;@"/>
    <numFmt numFmtId="173" formatCode="0.000%"/>
  </numFmts>
  <fonts count="8" x14ac:knownFonts="1">
    <font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sz val="10"/>
      <name val="Calibri"/>
      <family val="2"/>
      <scheme val="minor"/>
    </font>
    <font>
      <b/>
      <vertAlign val="subscript"/>
      <sz val="9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35">
    <xf numFmtId="0" fontId="0" fillId="0" borderId="0" xfId="0"/>
    <xf numFmtId="164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166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67" fontId="1" fillId="0" borderId="0" xfId="0" applyNumberFormat="1" applyFont="1"/>
    <xf numFmtId="168" fontId="1" fillId="0" borderId="0" xfId="0" applyNumberFormat="1" applyFont="1"/>
    <xf numFmtId="168" fontId="0" fillId="0" borderId="0" xfId="0" applyNumberFormat="1"/>
    <xf numFmtId="169" fontId="1" fillId="0" borderId="0" xfId="0" applyNumberFormat="1" applyFont="1"/>
    <xf numFmtId="0" fontId="1" fillId="0" borderId="0" xfId="0" applyFont="1" applyAlignment="1">
      <alignment horizontal="right"/>
    </xf>
    <xf numFmtId="170" fontId="1" fillId="0" borderId="0" xfId="0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4" fillId="2" borderId="1" xfId="0" applyFont="1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170" fontId="1" fillId="2" borderId="3" xfId="0" applyNumberFormat="1" applyFont="1" applyFill="1" applyBorder="1"/>
    <xf numFmtId="0" fontId="4" fillId="2" borderId="0" xfId="0" applyFont="1" applyFill="1" applyAlignment="1">
      <alignment horizontal="right"/>
    </xf>
    <xf numFmtId="0" fontId="0" fillId="2" borderId="0" xfId="0" applyFill="1"/>
    <xf numFmtId="0" fontId="5" fillId="2" borderId="0" xfId="0" applyFont="1" applyFill="1" applyAlignment="1">
      <alignment horizontal="right"/>
    </xf>
    <xf numFmtId="165" fontId="1" fillId="2" borderId="0" xfId="0" applyNumberFormat="1" applyFont="1" applyFill="1" applyAlignment="1">
      <alignment horizontal="right"/>
    </xf>
    <xf numFmtId="172" fontId="6" fillId="2" borderId="0" xfId="0" applyNumberFormat="1" applyFont="1" applyFill="1" applyAlignment="1">
      <alignment horizontal="right"/>
    </xf>
    <xf numFmtId="173" fontId="1" fillId="2" borderId="0" xfId="0" applyNumberFormat="1" applyFont="1" applyFill="1"/>
    <xf numFmtId="164" fontId="1" fillId="2" borderId="0" xfId="0" applyNumberFormat="1" applyFont="1" applyFill="1"/>
    <xf numFmtId="164" fontId="0" fillId="2" borderId="0" xfId="0" applyNumberFormat="1" applyFill="1"/>
    <xf numFmtId="168" fontId="1" fillId="2" borderId="0" xfId="0" applyNumberFormat="1" applyFont="1" applyFill="1"/>
    <xf numFmtId="168" fontId="0" fillId="2" borderId="0" xfId="0" applyNumberFormat="1" applyFill="1"/>
    <xf numFmtId="169" fontId="1" fillId="2" borderId="0" xfId="0" applyNumberFormat="1" applyFont="1" applyFill="1"/>
    <xf numFmtId="165" fontId="0" fillId="2" borderId="0" xfId="0" applyNumberFormat="1" applyFill="1"/>
    <xf numFmtId="0" fontId="1" fillId="2" borderId="0" xfId="0" applyFont="1" applyFill="1" applyAlignment="1">
      <alignment horizontal="right"/>
    </xf>
    <xf numFmtId="170" fontId="1" fillId="2" borderId="0" xfId="0" applyNumberFormat="1" applyFont="1" applyFill="1" applyAlignment="1">
      <alignment horizontal="right"/>
    </xf>
    <xf numFmtId="0" fontId="4" fillId="2" borderId="0" xfId="0" applyFont="1" applyFill="1"/>
    <xf numFmtId="0" fontId="0" fillId="2" borderId="3" xfId="0" applyFill="1" applyBorder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6B172-E0AE-41D3-9B18-50A70CB6D4E1}">
  <sheetPr codeName="Sheet1"/>
  <dimension ref="B2:Y70"/>
  <sheetViews>
    <sheetView tabSelected="1" zoomScale="85" zoomScaleNormal="85" workbookViewId="0"/>
  </sheetViews>
  <sheetFormatPr defaultRowHeight="13" x14ac:dyDescent="0.3"/>
  <cols>
    <col min="2" max="25" width="10.69921875" customWidth="1"/>
  </cols>
  <sheetData>
    <row r="2" spans="2:21" x14ac:dyDescent="0.3">
      <c r="D2" s="7"/>
    </row>
    <row r="3" spans="2:21" x14ac:dyDescent="0.3">
      <c r="B3" s="4" t="s">
        <v>13</v>
      </c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53</v>
      </c>
      <c r="I3" s="4" t="s">
        <v>54</v>
      </c>
      <c r="J3" s="4" t="s">
        <v>55</v>
      </c>
      <c r="K3" s="4" t="s">
        <v>59</v>
      </c>
      <c r="L3" s="4" t="s">
        <v>5</v>
      </c>
      <c r="M3" s="4" t="s">
        <v>6</v>
      </c>
      <c r="N3" s="4" t="s">
        <v>60</v>
      </c>
      <c r="S3" s="4"/>
      <c r="T3" s="4"/>
      <c r="U3" s="4"/>
    </row>
    <row r="4" spans="2:21" x14ac:dyDescent="0.3">
      <c r="B4" s="1">
        <v>1</v>
      </c>
      <c r="C4" s="4" t="s">
        <v>14</v>
      </c>
      <c r="D4" s="5">
        <v>5.3749999999999999E-2</v>
      </c>
      <c r="E4" s="13">
        <v>45444</v>
      </c>
      <c r="F4" s="5">
        <v>0.98</v>
      </c>
      <c r="G4" s="5">
        <f t="shared" ref="G4:G25" ca="1" si="0">YIELD(TODAY()+2,E4,D4,F4*100,100,2,0)</f>
        <v>5.9892371593753449E-2</v>
      </c>
      <c r="H4" s="5">
        <f ca="1">OFFSET($C$33,MATCH($E4,$C$34:$C$45,1),1)</f>
        <v>1.6000000000000001E-3</v>
      </c>
      <c r="I4" s="5">
        <f ca="1">IF($E4&gt;$C$45,$D$45,OFFSET($C$33,MATCH($E4,$C$34:$C$45,1)+1,1))</f>
        <v>2.8E-3</v>
      </c>
      <c r="J4" s="5">
        <f ca="1">H4+(I4-H4)/(OFFSET($C$33,MATCH($E4,$C$34:$C$45,1)+1,0)-OFFSET($C$33,MATCH($E4,$C$34:$C$45,1),0))*($E4-OFFSET($C$33,MATCH($E4,$C$34:$C$45,1),0))</f>
        <v>1.9994520547945206E-3</v>
      </c>
      <c r="K4" s="5">
        <f ca="1">G4-J4</f>
        <v>5.7892919538958927E-2</v>
      </c>
      <c r="L4" s="6">
        <f ca="1">YEARFRAC(E4,TODAY())</f>
        <v>3.6638888888888888</v>
      </c>
      <c r="M4" s="6" cm="1">
        <f t="array" ref="M4">INDEX($B$54:$V$71,MATCH($C4,$B$54:$B$71,0),COLUMNS($B$54:$V$54))</f>
        <v>0.52068780022909689</v>
      </c>
      <c r="N4" t="str">
        <f>C4 &amp; " " &amp; ROUND(D4*100,3) &amp; "% due " &amp; YEAR(E4)</f>
        <v>FUN 5.375% due 2024</v>
      </c>
      <c r="S4" s="3"/>
      <c r="T4" s="3"/>
      <c r="U4" s="34"/>
    </row>
    <row r="5" spans="2:21" x14ac:dyDescent="0.3">
      <c r="B5" s="2">
        <f>B4+1</f>
        <v>2</v>
      </c>
      <c r="C5" s="4" t="s">
        <v>14</v>
      </c>
      <c r="D5" s="5">
        <v>5.2499999999999998E-2</v>
      </c>
      <c r="E5" s="13">
        <v>47314</v>
      </c>
      <c r="F5" s="5">
        <v>0.96501999999999999</v>
      </c>
      <c r="G5" s="5">
        <f t="shared" ca="1" si="0"/>
        <v>5.7618633159679127E-2</v>
      </c>
      <c r="H5" s="5">
        <f ca="1">OFFSET($C$33,MATCH($E5,$C$34:$C$45,1),1)</f>
        <v>4.7999999999999996E-3</v>
      </c>
      <c r="I5" s="5">
        <f ca="1">IF($E5&gt;$C$45,$D$45,OFFSET($C$33,MATCH($E5,$C$34:$C$45,1)+1,1))</f>
        <v>7.0000000000000001E-3</v>
      </c>
      <c r="J5" s="5">
        <f ca="1">H5+(I5-H5)/(OFFSET($C$33,MATCH($E5,$C$34:$C$45,1)+1,0)-OFFSET($C$33,MATCH($E5,$C$34:$C$45,1),0))*($E5-OFFSET($C$33,MATCH($E5,$C$34:$C$45,1),0))</f>
        <v>6.1119634703196346E-3</v>
      </c>
      <c r="K5" s="5">
        <f ca="1">G5-J5</f>
        <v>5.1506669689359491E-2</v>
      </c>
      <c r="L5" s="6">
        <f ca="1">YEARFRAC(E5,TODAY())</f>
        <v>8.7861111111111114</v>
      </c>
      <c r="M5" s="6" cm="1">
        <f t="array" ref="M5">INDEX($B$54:$V$71,MATCH($C5,$B$54:$B$71,0),COLUMNS($B$54:$V$54))</f>
        <v>0.52068780022909689</v>
      </c>
      <c r="N5" t="str">
        <f t="shared" ref="N5:N26" si="1">C5 &amp; " " &amp; ROUND(D5*100,3) &amp; "% due " &amp; YEAR(E5)</f>
        <v>FUN 5.25% due 2029</v>
      </c>
      <c r="S5" s="3"/>
      <c r="T5" s="3"/>
      <c r="U5" s="34"/>
    </row>
    <row r="6" spans="2:21" x14ac:dyDescent="0.3">
      <c r="B6" s="2">
        <f t="shared" ref="B6:B26" si="2">B5+1</f>
        <v>3</v>
      </c>
      <c r="C6" s="4" t="s">
        <v>14</v>
      </c>
      <c r="D6" s="5">
        <v>5.3749999999999999E-2</v>
      </c>
      <c r="E6" s="13">
        <v>46492</v>
      </c>
      <c r="F6" s="5">
        <v>0.99168000000000001</v>
      </c>
      <c r="G6" s="5">
        <f t="shared" ca="1" si="0"/>
        <v>5.5281234674458557E-2</v>
      </c>
      <c r="H6" s="5">
        <f ca="1">OFFSET($C$33,MATCH($E6,$C$34:$C$45,1),1)</f>
        <v>2.8E-3</v>
      </c>
      <c r="I6" s="5">
        <f ca="1">IF($E6&gt;$C$45,$D$45,OFFSET($C$33,MATCH($E6,$C$34:$C$45,1)+1,1))</f>
        <v>4.7999999999999996E-3</v>
      </c>
      <c r="J6" s="5">
        <f ca="1">H6+(I6-H6)/(OFFSET($C$33,MATCH($E6,$C$34:$C$45,1)+1,0)-OFFSET($C$33,MATCH($E6,$C$34:$C$45,1),0))*($E6-OFFSET($C$33,MATCH($E6,$C$34:$C$45,1),0))</f>
        <v>4.3369863013698624E-3</v>
      </c>
      <c r="K6" s="5">
        <f ca="1">G6-J6</f>
        <v>5.0944248373088696E-2</v>
      </c>
      <c r="L6" s="6">
        <f ca="1">YEARFRAC(E6,TODAY())</f>
        <v>6.5361111111111114</v>
      </c>
      <c r="M6" s="6" cm="1">
        <f t="array" ref="M6">INDEX($B$54:$V$71,MATCH($C6,$B$54:$B$71,0),COLUMNS($B$54:$V$54))</f>
        <v>0.52068780022909689</v>
      </c>
      <c r="N6" t="str">
        <f t="shared" si="1"/>
        <v>FUN 5.375% due 2027</v>
      </c>
      <c r="S6" s="3"/>
      <c r="T6" s="3"/>
      <c r="U6" s="34"/>
    </row>
    <row r="7" spans="2:21" x14ac:dyDescent="0.3">
      <c r="B7" s="2">
        <f t="shared" si="2"/>
        <v>4</v>
      </c>
      <c r="C7" s="4" t="s">
        <v>28</v>
      </c>
      <c r="D7" s="5">
        <v>4.8750000000000002E-2</v>
      </c>
      <c r="E7" s="13">
        <v>45504</v>
      </c>
      <c r="F7" s="5">
        <v>0.93298000000000003</v>
      </c>
      <c r="G7" s="5">
        <f ca="1">YIELD(TODAY()+2,E7,D7,F7*100,100,2,0)</f>
        <v>6.8967167889791181E-2</v>
      </c>
      <c r="H7" s="5">
        <f ca="1">OFFSET($C$33,MATCH($E7,$C$34:$C$45,1),1)</f>
        <v>1.6000000000000001E-3</v>
      </c>
      <c r="I7" s="5">
        <f ca="1">IF($E7&gt;$C$45,$D$45,OFFSET($C$33,MATCH($E7,$C$34:$C$45,1)+1,1))</f>
        <v>2.8E-3</v>
      </c>
      <c r="J7" s="5">
        <f ca="1">H7+(I7-H7)/(OFFSET($C$33,MATCH($E7,$C$34:$C$45,1)+1,0)-OFFSET($C$33,MATCH($E7,$C$34:$C$45,1),0))*($E7-OFFSET($C$33,MATCH($E7,$C$34:$C$45,1),0))</f>
        <v>2.0980821917808219E-3</v>
      </c>
      <c r="K7" s="5">
        <f ca="1">G7-J7</f>
        <v>6.6869085698010353E-2</v>
      </c>
      <c r="L7" s="6">
        <f ca="1">YEARFRAC(E7,TODAY())</f>
        <v>3.8305555555555557</v>
      </c>
      <c r="M7" s="6" cm="1">
        <f t="array" ref="M7">INDEX($B$54:$V$71,MATCH($C7,$B$54:$B$71,0),COLUMNS($B$54:$V$54))</f>
        <v>0.50408976933830651</v>
      </c>
      <c r="N7" t="str">
        <f t="shared" si="1"/>
        <v>SIX 4.875% due 2024</v>
      </c>
      <c r="S7" s="3"/>
      <c r="T7" s="3"/>
      <c r="U7" s="34"/>
    </row>
    <row r="8" spans="2:21" x14ac:dyDescent="0.3">
      <c r="B8" s="2">
        <f t="shared" si="2"/>
        <v>5</v>
      </c>
      <c r="C8" s="4" t="s">
        <v>28</v>
      </c>
      <c r="D8" s="5">
        <v>7.0000000000000007E-2</v>
      </c>
      <c r="E8" s="13">
        <v>45839</v>
      </c>
      <c r="F8" s="5">
        <v>1.0674999999999999</v>
      </c>
      <c r="G8" s="5">
        <f ca="1">YIELD(TODAY()+2,E8,D8,F8*100,100,2,0)</f>
        <v>5.3659687471306949E-2</v>
      </c>
      <c r="H8" s="5">
        <f ca="1">OFFSET($C$33,MATCH($E8,$C$34:$C$45,1),1)</f>
        <v>1.6000000000000001E-3</v>
      </c>
      <c r="I8" s="5">
        <f ca="1">IF($E8&gt;$C$45,$D$45,OFFSET($C$33,MATCH($E8,$C$34:$C$45,1)+1,1))</f>
        <v>2.8E-3</v>
      </c>
      <c r="J8" s="5">
        <f ca="1">H8+(I8-H8)/(OFFSET($C$33,MATCH($E8,$C$34:$C$45,1)+1,0)-OFFSET($C$33,MATCH($E8,$C$34:$C$45,1),0))*($E8-OFFSET($C$33,MATCH($E8,$C$34:$C$45,1),0))</f>
        <v>2.6487671232876711E-3</v>
      </c>
      <c r="K8" s="5">
        <f ca="1">G8-J8</f>
        <v>5.1010920348019281E-2</v>
      </c>
      <c r="L8" s="6">
        <f ca="1">YEARFRAC(E8,TODAY())</f>
        <v>4.7472222222222218</v>
      </c>
      <c r="M8" s="6" cm="1">
        <f t="array" ref="M8">INDEX($B$54:$V$71,MATCH($C8,$B$54:$B$71,0),COLUMNS($B$54:$V$54))</f>
        <v>0.50408976933830651</v>
      </c>
      <c r="N8" t="str">
        <f t="shared" si="1"/>
        <v>SIX 7% due 2025</v>
      </c>
      <c r="S8" s="3"/>
      <c r="T8" s="3"/>
      <c r="U8" s="34"/>
    </row>
    <row r="9" spans="2:21" x14ac:dyDescent="0.3">
      <c r="B9" s="2">
        <f t="shared" si="2"/>
        <v>6</v>
      </c>
      <c r="C9" s="4" t="s">
        <v>28</v>
      </c>
      <c r="D9" s="5">
        <v>5.5E-2</v>
      </c>
      <c r="E9" s="13">
        <v>46492</v>
      </c>
      <c r="F9" s="5">
        <v>0.93298000000000003</v>
      </c>
      <c r="G9" s="5">
        <f ca="1">YIELD(TODAY()+2,E9,D9,F9*100,100,2,0)</f>
        <v>6.7869612115486519E-2</v>
      </c>
      <c r="H9" s="5">
        <f ca="1">OFFSET($C$33,MATCH($E9,$C$34:$C$45,1),1)</f>
        <v>2.8E-3</v>
      </c>
      <c r="I9" s="5">
        <f ca="1">IF($E9&gt;$C$45,$D$45,OFFSET($C$33,MATCH($E9,$C$34:$C$45,1)+1,1))</f>
        <v>4.7999999999999996E-3</v>
      </c>
      <c r="J9" s="5">
        <f ca="1">H9+(I9-H9)/(OFFSET($C$33,MATCH($E9,$C$34:$C$45,1)+1,0)-OFFSET($C$33,MATCH($E9,$C$34:$C$45,1),0))*($E9-OFFSET($C$33,MATCH($E9,$C$34:$C$45,1),0))</f>
        <v>4.3369863013698624E-3</v>
      </c>
      <c r="K9" s="5">
        <f ca="1">G9-J9</f>
        <v>6.3532625814116658E-2</v>
      </c>
      <c r="L9" s="6">
        <f ca="1">YEARFRAC(E9,TODAY())</f>
        <v>6.5361111111111114</v>
      </c>
      <c r="M9" s="6" cm="1">
        <f t="array" ref="M9">INDEX($B$54:$V$71,MATCH($C9,$B$54:$B$71,0),COLUMNS($B$54:$V$54))</f>
        <v>0.50408976933830651</v>
      </c>
      <c r="N9" t="str">
        <f t="shared" si="1"/>
        <v>SIX 5.5% due 2027</v>
      </c>
      <c r="S9" s="3"/>
      <c r="T9" s="3"/>
      <c r="U9" s="34"/>
    </row>
    <row r="10" spans="2:21" x14ac:dyDescent="0.3">
      <c r="B10" s="2">
        <f t="shared" si="2"/>
        <v>7</v>
      </c>
      <c r="C10" s="4" t="s">
        <v>15</v>
      </c>
      <c r="D10" s="5">
        <v>2.1999999999999999E-2</v>
      </c>
      <c r="E10" s="13">
        <v>44455</v>
      </c>
      <c r="F10" s="5">
        <v>1.0156799999999999</v>
      </c>
      <c r="G10" s="5">
        <f t="shared" ca="1" si="0"/>
        <v>5.4283358926862117E-3</v>
      </c>
      <c r="H10" s="5">
        <f ca="1">OFFSET($C$33,MATCH($E10,$C$34:$C$45,1),1)</f>
        <v>1.1000000000000001E-3</v>
      </c>
      <c r="I10" s="5">
        <f ca="1">IF($E10&gt;$C$45,$D$45,OFFSET($C$33,MATCH($E10,$C$34:$C$45,1)+1,1))</f>
        <v>1.1999999999999999E-3</v>
      </c>
      <c r="J10" s="5">
        <f ca="1">H10+(I10-H10)/(OFFSET($C$33,MATCH($E10,$C$34:$C$45,1)+1,0)-OFFSET($C$33,MATCH($E10,$C$34:$C$45,1),0))*($E10-OFFSET($C$33,MATCH($E10,$C$34:$C$45,1),0))</f>
        <v>1.1912328767123286E-3</v>
      </c>
      <c r="K10" s="5">
        <f ca="1">G10-J10</f>
        <v>4.2371030159738827E-3</v>
      </c>
      <c r="L10" s="6">
        <f ca="1">YEARFRAC(E10,TODAY())</f>
        <v>0.9555555555555556</v>
      </c>
      <c r="M10" s="6" cm="1">
        <f t="array" ref="M10">INDEX($B$54:$V$71,MATCH($C10,$B$54:$B$71,0),COLUMNS($B$54:$V$54))</f>
        <v>2.0739393755522605E-2</v>
      </c>
      <c r="N10" t="str">
        <f t="shared" si="1"/>
        <v>NVDA 2.2% due 2021</v>
      </c>
      <c r="S10" s="3"/>
      <c r="T10" s="3"/>
      <c r="U10" s="34"/>
    </row>
    <row r="11" spans="2:21" x14ac:dyDescent="0.3">
      <c r="B11" s="2">
        <f t="shared" si="2"/>
        <v>8</v>
      </c>
      <c r="C11" s="4" t="s">
        <v>16</v>
      </c>
      <c r="D11" s="5">
        <v>3.2500000000000001E-2</v>
      </c>
      <c r="E11" s="13">
        <v>44849</v>
      </c>
      <c r="F11" s="5">
        <v>1.02251</v>
      </c>
      <c r="G11" s="5">
        <f t="shared" ca="1" si="0"/>
        <v>2.1114141977014993E-2</v>
      </c>
      <c r="H11" s="5">
        <f ca="1">OFFSET($C$33,MATCH($E11,$C$34:$C$45,1),1)</f>
        <v>1.2999999999999999E-3</v>
      </c>
      <c r="I11" s="5">
        <f ca="1">IF($E11&gt;$C$45,$D$45,OFFSET($C$33,MATCH($E11,$C$34:$C$45,1)+1,1))</f>
        <v>1.6000000000000001E-3</v>
      </c>
      <c r="J11" s="5">
        <f ca="1">H11+(I11-H11)/(OFFSET($C$33,MATCH($E11,$C$34:$C$45,1)+1,0)-OFFSET($C$33,MATCH($E11,$C$34:$C$45,1),0))*($E11-OFFSET($C$33,MATCH($E11,$C$34:$C$45,1),0))</f>
        <v>1.3106849315068492E-3</v>
      </c>
      <c r="K11" s="5">
        <f ca="1">G11-J11</f>
        <v>1.9803457045508142E-2</v>
      </c>
      <c r="L11" s="6">
        <f ca="1">YEARFRAC(E11,TODAY())</f>
        <v>2.036111111111111</v>
      </c>
      <c r="M11" s="6" cm="1">
        <f t="array" ref="M11">INDEX($B$54:$V$71,MATCH($C11,$B$54:$B$71,0),COLUMNS($B$54:$V$54))</f>
        <v>0.70321510481291727</v>
      </c>
      <c r="N11" t="str">
        <f t="shared" si="1"/>
        <v>SLG 3.25% due 2022</v>
      </c>
      <c r="S11" s="3"/>
      <c r="T11" s="3"/>
      <c r="U11" s="34"/>
    </row>
    <row r="12" spans="2:21" x14ac:dyDescent="0.3">
      <c r="B12" s="2">
        <f t="shared" si="2"/>
        <v>9</v>
      </c>
      <c r="C12" s="4" t="s">
        <v>17</v>
      </c>
      <c r="D12" s="5">
        <v>5.3749999999999999E-2</v>
      </c>
      <c r="E12" s="13">
        <v>46127</v>
      </c>
      <c r="F12" s="5">
        <v>1.10945</v>
      </c>
      <c r="G12" s="5">
        <f t="shared" ca="1" si="0"/>
        <v>3.1997353253373662E-2</v>
      </c>
      <c r="H12" s="5">
        <f ca="1">OFFSET($C$33,MATCH($E12,$C$34:$C$45,1),1)</f>
        <v>2.8E-3</v>
      </c>
      <c r="I12" s="5">
        <f ca="1">IF($E12&gt;$C$45,$D$45,OFFSET($C$33,MATCH($E12,$C$34:$C$45,1)+1,1))</f>
        <v>4.7999999999999996E-3</v>
      </c>
      <c r="J12" s="5">
        <f ca="1">H12+(I12-H12)/(OFFSET($C$33,MATCH($E12,$C$34:$C$45,1)+1,0)-OFFSET($C$33,MATCH($E12,$C$34:$C$45,1),0))*($E12-OFFSET($C$33,MATCH($E12,$C$34:$C$45,1),0))</f>
        <v>3.3369863013698628E-3</v>
      </c>
      <c r="K12" s="5">
        <f ca="1">G12-J12</f>
        <v>2.8660366952003798E-2</v>
      </c>
      <c r="L12" s="6">
        <f ca="1">YEARFRAC(E12,TODAY())</f>
        <v>5.5361111111111114</v>
      </c>
      <c r="M12" s="6" cm="1">
        <f t="array" ref="M12">INDEX($B$54:$V$71,MATCH($C12,$B$54:$B$71,0),COLUMNS($B$54:$V$54))</f>
        <v>0.42596020206029883</v>
      </c>
      <c r="N12" t="str">
        <f t="shared" si="1"/>
        <v>GLPI 5.375% due 2026</v>
      </c>
      <c r="S12" s="3"/>
      <c r="T12" s="3"/>
      <c r="U12" s="34"/>
    </row>
    <row r="13" spans="2:21" x14ac:dyDescent="0.3">
      <c r="B13" s="2">
        <f t="shared" si="2"/>
        <v>10</v>
      </c>
      <c r="C13" s="4" t="s">
        <v>17</v>
      </c>
      <c r="D13" s="5">
        <v>5.7500000000000002E-2</v>
      </c>
      <c r="E13" s="13">
        <v>46905</v>
      </c>
      <c r="F13" s="5">
        <v>1.14584</v>
      </c>
      <c r="G13" s="5">
        <f t="shared" ca="1" si="0"/>
        <v>3.5569306127973273E-2</v>
      </c>
      <c r="H13" s="5">
        <f ca="1">OFFSET($C$33,MATCH($E13,$C$34:$C$45,1),1)</f>
        <v>4.7999999999999996E-3</v>
      </c>
      <c r="I13" s="5">
        <f ca="1">IF($E13&gt;$C$45,$D$45,OFFSET($C$33,MATCH($E13,$C$34:$C$45,1)+1,1))</f>
        <v>7.0000000000000001E-3</v>
      </c>
      <c r="J13" s="5">
        <f ca="1">H13+(I13-H13)/(OFFSET($C$33,MATCH($E13,$C$34:$C$45,1)+1,0)-OFFSET($C$33,MATCH($E13,$C$34:$C$45,1),0))*($E13-OFFSET($C$33,MATCH($E13,$C$34:$C$45,1),0))</f>
        <v>5.2902283105022829E-3</v>
      </c>
      <c r="K13" s="5">
        <f ca="1">G13-J13</f>
        <v>3.0279077817470988E-2</v>
      </c>
      <c r="L13" s="6">
        <f ca="1">YEARFRAC(E13,TODAY())</f>
        <v>7.6638888888888888</v>
      </c>
      <c r="M13" s="6" cm="1">
        <f t="array" ref="M13">INDEX($B$54:$V$71,MATCH($C13,$B$54:$B$71,0),COLUMNS($B$54:$V$54))</f>
        <v>0.42596020206029883</v>
      </c>
      <c r="N13" t="str">
        <f t="shared" si="1"/>
        <v>GLPI 5.75% due 2028</v>
      </c>
      <c r="S13" s="3"/>
      <c r="T13" s="3"/>
      <c r="U13" s="34"/>
    </row>
    <row r="14" spans="2:21" x14ac:dyDescent="0.3">
      <c r="B14" s="2">
        <f t="shared" si="2"/>
        <v>11</v>
      </c>
      <c r="C14" s="4" t="s">
        <v>18</v>
      </c>
      <c r="D14" s="5">
        <v>4.4999999999999998E-2</v>
      </c>
      <c r="E14" s="13">
        <v>45519</v>
      </c>
      <c r="F14" s="5">
        <v>1.0659099999999999</v>
      </c>
      <c r="G14" s="5">
        <f t="shared" ca="1" si="0"/>
        <v>2.6917039591205831E-2</v>
      </c>
      <c r="H14" s="5">
        <f ca="1">OFFSET($C$33,MATCH($E14,$C$34:$C$45,1),1)</f>
        <v>1.6000000000000001E-3</v>
      </c>
      <c r="I14" s="5">
        <f ca="1">IF($E14&gt;$C$45,$D$45,OFFSET($C$33,MATCH($E14,$C$34:$C$45,1)+1,1))</f>
        <v>2.8E-3</v>
      </c>
      <c r="J14" s="5">
        <f ca="1">H14+(I14-H14)/(OFFSET($C$33,MATCH($E14,$C$34:$C$45,1)+1,0)-OFFSET($C$33,MATCH($E14,$C$34:$C$45,1),0))*($E14-OFFSET($C$33,MATCH($E14,$C$34:$C$45,1),0))</f>
        <v>2.1227397260273973E-3</v>
      </c>
      <c r="K14" s="5">
        <f ca="1">G14-J14</f>
        <v>2.4794299865178435E-2</v>
      </c>
      <c r="L14" s="6">
        <f ca="1">YEARFRAC(E14,TODAY())</f>
        <v>3.8694444444444445</v>
      </c>
      <c r="M14" s="6" cm="1">
        <f t="array" ref="M14">INDEX($B$54:$V$71,MATCH($C14,$B$54:$B$71,0),COLUMNS($B$54:$V$54))</f>
        <v>0.52608283694116453</v>
      </c>
      <c r="N14" t="str">
        <f t="shared" si="1"/>
        <v>EXPE 4.5% due 2024</v>
      </c>
      <c r="S14" s="3"/>
      <c r="T14" s="3"/>
      <c r="U14" s="34"/>
    </row>
    <row r="15" spans="2:21" x14ac:dyDescent="0.3">
      <c r="B15" s="2">
        <f t="shared" si="2"/>
        <v>12</v>
      </c>
      <c r="C15" s="4" t="s">
        <v>19</v>
      </c>
      <c r="D15" s="5">
        <v>7.7499999999999999E-2</v>
      </c>
      <c r="E15" s="13">
        <v>44635</v>
      </c>
      <c r="F15" s="5">
        <v>1.0593999999999999</v>
      </c>
      <c r="G15" s="5">
        <f t="shared" ca="1" si="0"/>
        <v>3.5025866975838475E-2</v>
      </c>
      <c r="H15" s="5">
        <f ca="1">OFFSET($C$33,MATCH($E15,$C$34:$C$45,1),1)</f>
        <v>1.1999999999999999E-3</v>
      </c>
      <c r="I15" s="5">
        <f ca="1">IF($E15&gt;$C$45,$D$45,OFFSET($C$33,MATCH($E15,$C$34:$C$45,1)+1,1))</f>
        <v>1.2999999999999999E-3</v>
      </c>
      <c r="J15" s="5">
        <f ca="1">H15+(I15-H15)/(OFFSET($C$33,MATCH($E15,$C$34:$C$45,1)+1,0)-OFFSET($C$33,MATCH($E15,$C$34:$C$45,1),0))*($E15-OFFSET($C$33,MATCH($E15,$C$34:$C$45,1),0))</f>
        <v>1.244931506849315E-3</v>
      </c>
      <c r="K15" s="5">
        <f ca="1">G15-J15</f>
        <v>3.3780935468989158E-2</v>
      </c>
      <c r="L15" s="6">
        <f ca="1">YEARFRAC(E15,TODAY())</f>
        <v>1.4527777777777777</v>
      </c>
      <c r="M15" s="6" cm="1">
        <f t="array" ref="M15">INDEX($B$54:$V$71,MATCH($C15,$B$54:$B$71,0),COLUMNS($B$54:$V$54))</f>
        <v>0.64977435650852022</v>
      </c>
      <c r="N15" t="str">
        <f t="shared" si="1"/>
        <v>MGM 7.75% due 2022</v>
      </c>
      <c r="S15" s="3"/>
      <c r="T15" s="3"/>
      <c r="U15" s="34"/>
    </row>
    <row r="16" spans="2:21" x14ac:dyDescent="0.3">
      <c r="B16" s="2">
        <f t="shared" si="2"/>
        <v>13</v>
      </c>
      <c r="C16" s="4" t="s">
        <v>19</v>
      </c>
      <c r="D16" s="5">
        <v>5.7500000000000002E-2</v>
      </c>
      <c r="E16" s="13">
        <v>45823</v>
      </c>
      <c r="F16" s="5">
        <v>1.0487</v>
      </c>
      <c r="G16" s="5">
        <f t="shared" ca="1" si="0"/>
        <v>4.5839426133766237E-2</v>
      </c>
      <c r="H16" s="5">
        <f ca="1">OFFSET($C$33,MATCH($E16,$C$34:$C$45,1),1)</f>
        <v>1.6000000000000001E-3</v>
      </c>
      <c r="I16" s="5">
        <f ca="1">IF($E16&gt;$C$45,$D$45,OFFSET($C$33,MATCH($E16,$C$34:$C$45,1)+1,1))</f>
        <v>2.8E-3</v>
      </c>
      <c r="J16" s="5">
        <f ca="1">H16+(I16-H16)/(OFFSET($C$33,MATCH($E16,$C$34:$C$45,1)+1,0)-OFFSET($C$33,MATCH($E16,$C$34:$C$45,1),0))*($E16-OFFSET($C$33,MATCH($E16,$C$34:$C$45,1),0))</f>
        <v>2.6224657534246578E-3</v>
      </c>
      <c r="K16" s="5">
        <f ca="1">G16-J16</f>
        <v>4.3216960380341576E-2</v>
      </c>
      <c r="L16" s="6">
        <f ca="1">YEARFRAC(E16,TODAY())</f>
        <v>4.7027777777777775</v>
      </c>
      <c r="M16" s="6" cm="1">
        <f t="array" ref="M16">INDEX($B$54:$V$71,MATCH($C16,$B$54:$B$71,0),COLUMNS($B$54:$V$54))</f>
        <v>0.64977435650852022</v>
      </c>
      <c r="N16" t="str">
        <f t="shared" si="1"/>
        <v>MGM 5.75% due 2025</v>
      </c>
      <c r="S16" s="3"/>
      <c r="T16" s="3"/>
      <c r="U16" s="34"/>
    </row>
    <row r="17" spans="2:21" x14ac:dyDescent="0.3">
      <c r="B17" s="2">
        <f t="shared" si="2"/>
        <v>14</v>
      </c>
      <c r="C17" s="4" t="s">
        <v>19</v>
      </c>
      <c r="D17" s="5">
        <v>5.5E-2</v>
      </c>
      <c r="E17" s="13">
        <v>46492</v>
      </c>
      <c r="F17" s="5">
        <v>1.0425</v>
      </c>
      <c r="G17" s="5">
        <f t="shared" ca="1" si="0"/>
        <v>4.7354589270883651E-2</v>
      </c>
      <c r="H17" s="5">
        <f ca="1">OFFSET($C$33,MATCH($E17,$C$34:$C$45,1),1)</f>
        <v>2.8E-3</v>
      </c>
      <c r="I17" s="5">
        <f ca="1">IF($E17&gt;$C$45,$D$45,OFFSET($C$33,MATCH($E17,$C$34:$C$45,1)+1,1))</f>
        <v>4.7999999999999996E-3</v>
      </c>
      <c r="J17" s="5">
        <f ca="1">H17+(I17-H17)/(OFFSET($C$33,MATCH($E17,$C$34:$C$45,1)+1,0)-OFFSET($C$33,MATCH($E17,$C$34:$C$45,1),0))*($E17-OFFSET($C$33,MATCH($E17,$C$34:$C$45,1),0))</f>
        <v>4.3369863013698624E-3</v>
      </c>
      <c r="K17" s="5">
        <f ca="1">G17-J17</f>
        <v>4.3017602969513791E-2</v>
      </c>
      <c r="L17" s="6">
        <f ca="1">YEARFRAC(E17,TODAY())</f>
        <v>6.5361111111111114</v>
      </c>
      <c r="M17" s="6" cm="1">
        <f t="array" ref="M17">INDEX($B$54:$V$71,MATCH($C17,$B$54:$B$71,0),COLUMNS($B$54:$V$54))</f>
        <v>0.64977435650852022</v>
      </c>
      <c r="N17" t="str">
        <f t="shared" si="1"/>
        <v>MGM 5.5% due 2027</v>
      </c>
      <c r="S17" s="3"/>
      <c r="T17" s="3"/>
      <c r="U17" s="34"/>
    </row>
    <row r="18" spans="2:21" x14ac:dyDescent="0.3">
      <c r="B18" s="2">
        <f t="shared" si="2"/>
        <v>15</v>
      </c>
      <c r="C18" s="4" t="s">
        <v>20</v>
      </c>
      <c r="D18" s="5">
        <v>2.75E-2</v>
      </c>
      <c r="E18" s="13">
        <v>44174</v>
      </c>
      <c r="F18" s="5">
        <v>1.0027219999999999</v>
      </c>
      <c r="G18" s="5">
        <f t="shared" ca="1" si="0"/>
        <v>1.2282970957437436E-2</v>
      </c>
      <c r="H18" s="5">
        <f ca="1">OFFSET($C$33,MATCH($E18,$C$34:$C$45,1),1)</f>
        <v>8.9999999999999998E-4</v>
      </c>
      <c r="I18" s="5">
        <f ca="1">IF($E18&gt;$C$45,$D$45,OFFSET($C$33,MATCH($E18,$C$34:$C$45,1)+1,1))</f>
        <v>8.9999999999999998E-4</v>
      </c>
      <c r="J18" s="5">
        <f ca="1">H18+(I18-H18)/(OFFSET($C$33,MATCH($E18,$C$34:$C$45,1)+1,0)-OFFSET($C$33,MATCH($E18,$C$34:$C$45,1),0))*($E18-OFFSET($C$33,MATCH($E18,$C$34:$C$45,1),0))</f>
        <v>8.9999999999999998E-4</v>
      </c>
      <c r="K18" s="5">
        <f ca="1">G18-J18</f>
        <v>1.1382970957437436E-2</v>
      </c>
      <c r="L18" s="6">
        <f ca="1">YEARFRAC(E18,TODAY())</f>
        <v>0.18611111111111112</v>
      </c>
      <c r="M18" s="6" cm="1">
        <f t="array" ref="M18">INDEX($B$54:$V$71,MATCH($C18,$B$54:$B$71,0),COLUMNS($B$54:$V$54))</f>
        <v>0.23861238207556104</v>
      </c>
      <c r="N18" t="str">
        <f t="shared" si="1"/>
        <v>MCD 2.75% due 2020</v>
      </c>
      <c r="S18" s="3"/>
      <c r="T18" s="3"/>
      <c r="U18" s="34"/>
    </row>
    <row r="19" spans="2:21" x14ac:dyDescent="0.3">
      <c r="B19" s="2">
        <f t="shared" si="2"/>
        <v>16</v>
      </c>
      <c r="C19" s="4" t="s">
        <v>21</v>
      </c>
      <c r="D19" s="5">
        <v>3.6249999999999998E-2</v>
      </c>
      <c r="E19" s="13">
        <v>45275</v>
      </c>
      <c r="F19" s="5">
        <v>1.0977600000000001</v>
      </c>
      <c r="G19" s="5">
        <f t="shared" ca="1" si="0"/>
        <v>5.3675006502392564E-3</v>
      </c>
      <c r="H19" s="5">
        <f ca="1">OFFSET($C$33,MATCH($E19,$C$34:$C$45,1),1)</f>
        <v>1.6000000000000001E-3</v>
      </c>
      <c r="I19" s="5">
        <f ca="1">IF($E19&gt;$C$45,$D$45,OFFSET($C$33,MATCH($E19,$C$34:$C$45,1)+1,1))</f>
        <v>2.8E-3</v>
      </c>
      <c r="J19" s="5">
        <f ca="1">H19+(I19-H19)/(OFFSET($C$33,MATCH($E19,$C$34:$C$45,1)+1,0)-OFFSET($C$33,MATCH($E19,$C$34:$C$45,1),0))*($E19-OFFSET($C$33,MATCH($E19,$C$34:$C$45,1),0))</f>
        <v>1.7216438356164384E-3</v>
      </c>
      <c r="K19" s="5">
        <f ca="1">G19-J19</f>
        <v>3.6458568146228183E-3</v>
      </c>
      <c r="L19" s="6">
        <f ca="1">YEARFRAC(E19,TODAY())</f>
        <v>3.2027777777777779</v>
      </c>
      <c r="M19" s="6" cm="1">
        <f t="array" ref="M19">INDEX($B$54:$V$71,MATCH($C19,$B$54:$B$71,0),COLUMNS($B$54:$V$54))</f>
        <v>4.7730720838705346E-2</v>
      </c>
      <c r="N19" t="str">
        <f t="shared" si="1"/>
        <v>MSFT 3.625% due 2023</v>
      </c>
      <c r="S19" s="3"/>
      <c r="T19" s="3"/>
      <c r="U19" s="34"/>
    </row>
    <row r="20" spans="2:21" x14ac:dyDescent="0.3">
      <c r="B20" s="2">
        <f t="shared" si="2"/>
        <v>17</v>
      </c>
      <c r="C20" s="4" t="s">
        <v>22</v>
      </c>
      <c r="D20" s="5">
        <v>5.3749999999999999E-2</v>
      </c>
      <c r="E20" s="13">
        <v>44228</v>
      </c>
      <c r="F20" s="5">
        <v>1.01505</v>
      </c>
      <c r="G20" s="5">
        <f t="shared" ca="1" si="0"/>
        <v>7.2646417963748364E-3</v>
      </c>
      <c r="H20" s="5">
        <f ca="1">OFFSET($C$33,MATCH($E20,$C$34:$C$45,1),1)</f>
        <v>8.9999999999999998E-4</v>
      </c>
      <c r="I20" s="5">
        <f ca="1">IF($E20&gt;$C$45,$D$45,OFFSET($C$33,MATCH($E20,$C$34:$C$45,1)+1,1))</f>
        <v>1.1000000000000001E-3</v>
      </c>
      <c r="J20" s="5">
        <f ca="1">H20+(I20-H20)/(OFFSET($C$33,MATCH($E20,$C$34:$C$45,1)+1,0)-OFFSET($C$33,MATCH($E20,$C$34:$C$45,1),0))*($E20-OFFSET($C$33,MATCH($E20,$C$34:$C$45,1),0))</f>
        <v>9.6739726027397256E-4</v>
      </c>
      <c r="K20" s="5">
        <f ca="1">G20-J20</f>
        <v>6.2972445361008638E-3</v>
      </c>
      <c r="L20" s="6">
        <f ca="1">YEARFRAC(E20,TODAY())</f>
        <v>0.33055555555555555</v>
      </c>
      <c r="M20" s="6" cm="1">
        <f t="array" ref="M20">INDEX($B$54:$V$71,MATCH($C20,$B$54:$B$71,0),COLUMNS($B$54:$V$54))</f>
        <v>6.5605668646827056E-2</v>
      </c>
      <c r="N20" t="str">
        <f t="shared" si="1"/>
        <v>NFLX 5.375% due 2021</v>
      </c>
      <c r="S20" s="3"/>
      <c r="T20" s="3"/>
      <c r="U20" s="34"/>
    </row>
    <row r="21" spans="2:21" x14ac:dyDescent="0.3">
      <c r="B21" s="2">
        <f t="shared" si="2"/>
        <v>18</v>
      </c>
      <c r="C21" s="4" t="s">
        <v>23</v>
      </c>
      <c r="D21" s="5">
        <v>3.5999999999999997E-2</v>
      </c>
      <c r="E21" s="13">
        <v>46174</v>
      </c>
      <c r="F21" s="5">
        <v>1.10808</v>
      </c>
      <c r="G21" s="5">
        <f t="shared" ca="1" si="0"/>
        <v>1.5945458446334691E-2</v>
      </c>
      <c r="H21" s="5">
        <f ca="1">OFFSET($C$33,MATCH($E21,$C$34:$C$45,1),1)</f>
        <v>2.8E-3</v>
      </c>
      <c r="I21" s="5">
        <f ca="1">IF($E21&gt;$C$45,$D$45,OFFSET($C$33,MATCH($E21,$C$34:$C$45,1)+1,1))</f>
        <v>4.7999999999999996E-3</v>
      </c>
      <c r="J21" s="5">
        <f ca="1">H21+(I21-H21)/(OFFSET($C$33,MATCH($E21,$C$34:$C$45,1)+1,0)-OFFSET($C$33,MATCH($E21,$C$34:$C$45,1),0))*($E21-OFFSET($C$33,MATCH($E21,$C$34:$C$45,1),0))</f>
        <v>3.4657534246575342E-3</v>
      </c>
      <c r="K21" s="5">
        <f ca="1">G21-J21</f>
        <v>1.2479705021677157E-2</v>
      </c>
      <c r="L21" s="6">
        <f ca="1">YEARFRAC(E21,TODAY())</f>
        <v>5.6638888888888888</v>
      </c>
      <c r="M21" s="6" cm="1">
        <f t="array" ref="M21">INDEX($B$54:$V$71,MATCH($C21,$B$54:$B$71,0),COLUMNS($B$54:$V$54))</f>
        <v>0.17143874554416538</v>
      </c>
      <c r="N21" t="str">
        <f t="shared" si="1"/>
        <v>BKNG 3.6% due 2026</v>
      </c>
      <c r="S21" s="3"/>
      <c r="T21" s="3"/>
      <c r="U21" s="34"/>
    </row>
    <row r="22" spans="2:21" x14ac:dyDescent="0.3">
      <c r="B22" s="2">
        <f t="shared" si="2"/>
        <v>19</v>
      </c>
      <c r="C22" s="4" t="s">
        <v>24</v>
      </c>
      <c r="D22" s="5">
        <v>3.125E-2</v>
      </c>
      <c r="E22" s="13">
        <v>44972</v>
      </c>
      <c r="F22" s="5">
        <v>1.03556</v>
      </c>
      <c r="G22" s="5">
        <f t="shared" ca="1" si="0"/>
        <v>1.5858426949390696E-2</v>
      </c>
      <c r="H22" s="5">
        <f ca="1">OFFSET($C$33,MATCH($E22,$C$34:$C$45,1),1)</f>
        <v>1.2999999999999999E-3</v>
      </c>
      <c r="I22" s="5">
        <f ca="1">IF($E22&gt;$C$45,$D$45,OFFSET($C$33,MATCH($E22,$C$34:$C$45,1)+1,1))</f>
        <v>1.6000000000000001E-3</v>
      </c>
      <c r="J22" s="5">
        <f ca="1">H22+(I22-H22)/(OFFSET($C$33,MATCH($E22,$C$34:$C$45,1)+1,0)-OFFSET($C$33,MATCH($E22,$C$34:$C$45,1),0))*($E22-OFFSET($C$33,MATCH($E22,$C$34:$C$45,1),0))</f>
        <v>1.4117808219178082E-3</v>
      </c>
      <c r="K22" s="5">
        <f ca="1">G22-J22</f>
        <v>1.4446646127472889E-2</v>
      </c>
      <c r="L22" s="6">
        <f ca="1">YEARFRAC(E22,TODAY())</f>
        <v>2.3694444444444445</v>
      </c>
      <c r="M22" s="6" cm="1">
        <f t="array" ref="M22">INDEX($B$54:$V$71,MATCH($C22,$B$54:$B$71,0),COLUMNS($B$54:$V$54))</f>
        <v>0.3969865023607651</v>
      </c>
      <c r="N22" t="str">
        <f t="shared" si="1"/>
        <v>MAR 3.125% due 2023</v>
      </c>
      <c r="S22" s="3"/>
      <c r="T22" s="3"/>
      <c r="U22" s="34"/>
    </row>
    <row r="23" spans="2:21" x14ac:dyDescent="0.3">
      <c r="B23" s="2">
        <f t="shared" si="2"/>
        <v>20</v>
      </c>
      <c r="C23" s="4" t="s">
        <v>25</v>
      </c>
      <c r="D23" s="5">
        <v>3.95E-2</v>
      </c>
      <c r="E23" s="13">
        <v>44727</v>
      </c>
      <c r="F23" s="5">
        <v>1.0319199999999999</v>
      </c>
      <c r="G23" s="5">
        <f t="shared" ca="1" si="0"/>
        <v>2.025821978272991E-2</v>
      </c>
      <c r="H23" s="5">
        <f ca="1">OFFSET($C$33,MATCH($E23,$C$34:$C$45,1),1)</f>
        <v>1.1999999999999999E-3</v>
      </c>
      <c r="I23" s="5">
        <f ca="1">IF($E23&gt;$C$45,$D$45,OFFSET($C$33,MATCH($E23,$C$34:$C$45,1)+1,1))</f>
        <v>1.2999999999999999E-3</v>
      </c>
      <c r="J23" s="5">
        <f ca="1">H23+(I23-H23)/(OFFSET($C$33,MATCH($E23,$C$34:$C$45,1)+1,0)-OFFSET($C$33,MATCH($E23,$C$34:$C$45,1),0))*($E23-OFFSET($C$33,MATCH($E23,$C$34:$C$45,1),0))</f>
        <v>1.2701369863013698E-3</v>
      </c>
      <c r="K23" s="5">
        <f ca="1">G23-J23</f>
        <v>1.8988082796428541E-2</v>
      </c>
      <c r="L23" s="6">
        <f ca="1">YEARFRAC(E23,TODAY())</f>
        <v>1.7027777777777777</v>
      </c>
      <c r="M23" s="6" cm="1">
        <f t="array" ref="M23">INDEX($B$54:$V$71,MATCH($C23,$B$54:$B$71,0),COLUMNS($B$54:$V$54))</f>
        <v>0.25257058726904075</v>
      </c>
      <c r="N23" t="str">
        <f t="shared" si="1"/>
        <v>NLOK 3.95% due 2022</v>
      </c>
      <c r="S23" s="3"/>
      <c r="T23" s="3"/>
      <c r="U23" s="34"/>
    </row>
    <row r="24" spans="2:21" x14ac:dyDescent="0.3">
      <c r="B24" s="2">
        <f t="shared" si="2"/>
        <v>21</v>
      </c>
      <c r="C24" s="4" t="s">
        <v>26</v>
      </c>
      <c r="D24" s="5">
        <v>4.3749999999999997E-2</v>
      </c>
      <c r="E24" s="13">
        <v>45031</v>
      </c>
      <c r="F24" s="5">
        <v>1.0410999999999999</v>
      </c>
      <c r="G24" s="5">
        <f t="shared" ca="1" si="0"/>
        <v>2.6838592320753068E-2</v>
      </c>
      <c r="H24" s="5">
        <f ca="1">OFFSET($C$33,MATCH($E24,$C$34:$C$45,1),1)</f>
        <v>1.2999999999999999E-3</v>
      </c>
      <c r="I24" s="5">
        <f ca="1">IF($E24&gt;$C$45,$D$45,OFFSET($C$33,MATCH($E24,$C$34:$C$45,1)+1,1))</f>
        <v>1.6000000000000001E-3</v>
      </c>
      <c r="J24" s="5">
        <f ca="1">H24+(I24-H24)/(OFFSET($C$33,MATCH($E24,$C$34:$C$45,1)+1,0)-OFFSET($C$33,MATCH($E24,$C$34:$C$45,1),0))*($E24-OFFSET($C$33,MATCH($E24,$C$34:$C$45,1),0))</f>
        <v>1.4602739726027397E-3</v>
      </c>
      <c r="K24" s="5">
        <f ca="1">G24-J24</f>
        <v>2.5378318348150328E-2</v>
      </c>
      <c r="L24" s="6">
        <f ca="1">YEARFRAC(E24,TODAY())</f>
        <v>2.536111111111111</v>
      </c>
      <c r="M24" s="6" cm="1">
        <f t="array" ref="M24">INDEX($B$54:$V$71,MATCH($C24,$B$54:$B$71,0),COLUMNS($B$54:$V$54))</f>
        <v>0.40012347089369321</v>
      </c>
      <c r="N24" t="str">
        <f t="shared" si="1"/>
        <v>TOL 4.375% due 2023</v>
      </c>
      <c r="S24" s="3"/>
      <c r="T24" s="3"/>
      <c r="U24" s="34"/>
    </row>
    <row r="25" spans="2:21" x14ac:dyDescent="0.3">
      <c r="B25" s="2">
        <f t="shared" si="2"/>
        <v>22</v>
      </c>
      <c r="C25" s="4" t="s">
        <v>27</v>
      </c>
      <c r="D25" s="5">
        <v>3.3759999999999998E-2</v>
      </c>
      <c r="E25" s="13">
        <v>45703</v>
      </c>
      <c r="F25" s="5">
        <v>1.1165400000000001</v>
      </c>
      <c r="G25" s="5">
        <f t="shared" ca="1" si="0"/>
        <v>6.6213144671331209E-3</v>
      </c>
      <c r="H25" s="5">
        <f ca="1">OFFSET($C$33,MATCH($E25,$C$34:$C$45,1),1)</f>
        <v>1.6000000000000001E-3</v>
      </c>
      <c r="I25" s="5">
        <f ca="1">IF($E25&gt;$C$45,$D$45,OFFSET($C$33,MATCH($E25,$C$34:$C$45,1)+1,1))</f>
        <v>2.8E-3</v>
      </c>
      <c r="J25" s="5">
        <f ca="1">H25+(I25-H25)/(OFFSET($C$33,MATCH($E25,$C$34:$C$45,1)+1,0)-OFFSET($C$33,MATCH($E25,$C$34:$C$45,1),0))*($E25-OFFSET($C$33,MATCH($E25,$C$34:$C$45,1),0))</f>
        <v>2.4252054794520546E-3</v>
      </c>
      <c r="K25" s="5">
        <f ca="1">G25-J25</f>
        <v>4.1961089876810659E-3</v>
      </c>
      <c r="L25" s="6">
        <f ca="1">YEARFRAC(E25,TODAY())</f>
        <v>4.3694444444444445</v>
      </c>
      <c r="M25" s="6" cm="1">
        <f t="array" ref="M25">INDEX($B$54:$V$71,MATCH($C25,$B$54:$B$71,0),COLUMNS($B$54:$V$54))</f>
        <v>0.3706771071263239</v>
      </c>
      <c r="N25" t="str">
        <f t="shared" si="1"/>
        <v>VZ 3.376% due 2025</v>
      </c>
      <c r="S25" s="3"/>
      <c r="T25" s="3"/>
      <c r="U25" s="34"/>
    </row>
    <row r="26" spans="2:21" x14ac:dyDescent="0.3">
      <c r="B26" s="2">
        <f t="shared" si="2"/>
        <v>23</v>
      </c>
      <c r="C26" s="4" t="s">
        <v>29</v>
      </c>
      <c r="D26" s="5">
        <v>4.4999999999999998E-2</v>
      </c>
      <c r="E26" s="13">
        <v>44669</v>
      </c>
      <c r="F26" s="5">
        <v>0.96775</v>
      </c>
      <c r="G26" s="5">
        <f ca="1">YIELD(TODAY()+2,E26,D26,F26*100,100,2,0)</f>
        <v>6.73943518226435E-2</v>
      </c>
      <c r="H26" s="5">
        <f ca="1">OFFSET($C$33,MATCH($E26,$C$34:$C$45,1),1)</f>
        <v>1.1999999999999999E-3</v>
      </c>
      <c r="I26" s="5">
        <f ca="1">IF($E26&gt;$C$45,$D$45,OFFSET($C$33,MATCH($E26,$C$34:$C$45,1)+1,1))</f>
        <v>1.2999999999999999E-3</v>
      </c>
      <c r="J26" s="5">
        <f ca="1">H26+(I26-H26)/(OFFSET($C$33,MATCH($E26,$C$34:$C$45,1)+1,0)-OFFSET($C$33,MATCH($E26,$C$34:$C$45,1),0))*($E26-OFFSET($C$33,MATCH($E26,$C$34:$C$45,1),0))</f>
        <v>1.2542465753424656E-3</v>
      </c>
      <c r="K26" s="5">
        <f ca="1">G26-J26</f>
        <v>6.6140105247301031E-2</v>
      </c>
      <c r="L26" s="6">
        <f ca="1">YEARFRAC(E26,TODAY())</f>
        <v>1.5444444444444445</v>
      </c>
      <c r="M26" s="6" cm="1">
        <f t="array" ref="M26">INDEX($B$54:$V$71,MATCH($C26,$B$54:$B$71,0),COLUMNS($B$54:$V$54))</f>
        <v>0.42309010807063496</v>
      </c>
      <c r="N26" t="str">
        <f t="shared" si="1"/>
        <v>CLI 4.5% due 2022</v>
      </c>
      <c r="S26" s="3"/>
      <c r="T26" s="3"/>
      <c r="U26" s="34"/>
    </row>
    <row r="27" spans="2:21" x14ac:dyDescent="0.3">
      <c r="B27" s="2"/>
      <c r="C27" s="4"/>
      <c r="D27" s="5"/>
      <c r="E27" s="13"/>
      <c r="F27" s="5"/>
      <c r="G27" s="5"/>
      <c r="H27" s="6"/>
      <c r="I27" s="6"/>
    </row>
    <row r="28" spans="2:21" x14ac:dyDescent="0.3">
      <c r="B28" s="2"/>
      <c r="C28" s="4"/>
      <c r="D28" s="5"/>
      <c r="E28" s="4"/>
      <c r="F28" s="5"/>
      <c r="G28" s="5"/>
      <c r="H28" s="6"/>
      <c r="I28" s="6"/>
    </row>
    <row r="29" spans="2:21" x14ac:dyDescent="0.3">
      <c r="B29" s="2"/>
      <c r="C29" s="4"/>
      <c r="D29" s="5"/>
      <c r="E29" s="4"/>
      <c r="F29" s="5"/>
      <c r="G29" s="5"/>
      <c r="H29" s="6"/>
      <c r="I29" s="6"/>
    </row>
    <row r="30" spans="2:21" x14ac:dyDescent="0.3">
      <c r="B30" s="2"/>
      <c r="C30" s="4"/>
      <c r="D30" s="5"/>
      <c r="E30" s="4"/>
      <c r="F30" s="5"/>
      <c r="G30" s="5"/>
      <c r="H30" s="6"/>
      <c r="I30" s="6"/>
    </row>
    <row r="31" spans="2:21" x14ac:dyDescent="0.3">
      <c r="B31" s="2"/>
      <c r="C31" s="4"/>
      <c r="D31" s="5"/>
      <c r="E31" s="4"/>
      <c r="F31" s="5"/>
      <c r="G31" s="5"/>
      <c r="H31" s="6"/>
      <c r="I31" s="6"/>
    </row>
    <row r="32" spans="2:21" x14ac:dyDescent="0.3">
      <c r="B32" s="14" t="s">
        <v>48</v>
      </c>
      <c r="C32" s="15"/>
      <c r="D32" s="15"/>
      <c r="E32" s="15"/>
      <c r="F32" s="16" t="s">
        <v>49</v>
      </c>
      <c r="G32" s="17">
        <v>44106</v>
      </c>
      <c r="H32" s="6"/>
      <c r="I32" s="6"/>
    </row>
    <row r="33" spans="2:9" x14ac:dyDescent="0.3">
      <c r="B33" s="18" t="s">
        <v>50</v>
      </c>
      <c r="C33" s="18" t="s">
        <v>51</v>
      </c>
      <c r="D33" s="18" t="s">
        <v>52</v>
      </c>
      <c r="E33" s="19"/>
      <c r="F33" s="19"/>
      <c r="G33" s="20"/>
      <c r="H33" s="6"/>
      <c r="I33" s="6"/>
    </row>
    <row r="34" spans="2:9" x14ac:dyDescent="0.3">
      <c r="B34" s="21">
        <f>1/12</f>
        <v>8.3333333333333329E-2</v>
      </c>
      <c r="C34" s="22">
        <f t="shared" ref="C34:C45" ca="1" si="3">TODAY()+B34*365</f>
        <v>44136.416666666664</v>
      </c>
      <c r="D34" s="23">
        <v>1E-3</v>
      </c>
      <c r="E34" s="19"/>
      <c r="F34" s="19"/>
      <c r="G34" s="20"/>
      <c r="H34" s="6"/>
      <c r="I34" s="6"/>
    </row>
    <row r="35" spans="2:9" x14ac:dyDescent="0.3">
      <c r="B35" s="21">
        <f>2/12</f>
        <v>0.16666666666666666</v>
      </c>
      <c r="C35" s="22">
        <f t="shared" ca="1" si="3"/>
        <v>44166.833333333336</v>
      </c>
      <c r="D35" s="23">
        <v>8.9999999999999998E-4</v>
      </c>
      <c r="E35" s="19"/>
      <c r="F35" s="19"/>
      <c r="G35" s="20"/>
      <c r="H35" s="6"/>
      <c r="I35" s="6"/>
    </row>
    <row r="36" spans="2:9" x14ac:dyDescent="0.3">
      <c r="B36" s="21">
        <f>3/12</f>
        <v>0.25</v>
      </c>
      <c r="C36" s="22">
        <f t="shared" ca="1" si="3"/>
        <v>44197.25</v>
      </c>
      <c r="D36" s="23">
        <v>8.9999999999999998E-4</v>
      </c>
      <c r="E36" s="19"/>
      <c r="F36" s="19"/>
      <c r="G36" s="20"/>
      <c r="H36" s="6"/>
      <c r="I36" s="6"/>
    </row>
    <row r="37" spans="2:9" x14ac:dyDescent="0.3">
      <c r="B37" s="21">
        <f>6/12</f>
        <v>0.5</v>
      </c>
      <c r="C37" s="22">
        <f t="shared" ca="1" si="3"/>
        <v>44288.5</v>
      </c>
      <c r="D37" s="23">
        <v>1.1000000000000001E-3</v>
      </c>
      <c r="E37" s="19"/>
      <c r="F37" s="19"/>
      <c r="G37" s="20"/>
      <c r="H37" s="6"/>
      <c r="I37" s="6"/>
    </row>
    <row r="38" spans="2:9" x14ac:dyDescent="0.3">
      <c r="B38" s="21">
        <v>1</v>
      </c>
      <c r="C38" s="22">
        <f t="shared" ca="1" si="3"/>
        <v>44471</v>
      </c>
      <c r="D38" s="23">
        <v>1.1999999999999999E-3</v>
      </c>
      <c r="E38" s="19"/>
      <c r="F38" s="19"/>
      <c r="G38" s="20"/>
      <c r="H38" s="6"/>
      <c r="I38" s="6"/>
    </row>
    <row r="39" spans="2:9" x14ac:dyDescent="0.3">
      <c r="B39" s="21">
        <v>2</v>
      </c>
      <c r="C39" s="22">
        <f t="shared" ca="1" si="3"/>
        <v>44836</v>
      </c>
      <c r="D39" s="23">
        <v>1.2999999999999999E-3</v>
      </c>
      <c r="E39" s="19"/>
      <c r="F39" s="19"/>
      <c r="G39" s="20"/>
      <c r="H39" s="6"/>
      <c r="I39" s="6"/>
    </row>
    <row r="40" spans="2:9" x14ac:dyDescent="0.3">
      <c r="B40" s="21">
        <v>3</v>
      </c>
      <c r="C40" s="22">
        <f t="shared" ca="1" si="3"/>
        <v>45201</v>
      </c>
      <c r="D40" s="23">
        <v>1.6000000000000001E-3</v>
      </c>
      <c r="E40" s="19"/>
      <c r="F40" s="19"/>
      <c r="G40" s="20"/>
      <c r="H40" s="6"/>
      <c r="I40" s="6"/>
    </row>
    <row r="41" spans="2:9" x14ac:dyDescent="0.3">
      <c r="B41" s="21">
        <v>5</v>
      </c>
      <c r="C41" s="22">
        <f t="shared" ca="1" si="3"/>
        <v>45931</v>
      </c>
      <c r="D41" s="23">
        <v>2.8E-3</v>
      </c>
      <c r="E41" s="19"/>
      <c r="F41" s="19"/>
      <c r="G41" s="20"/>
      <c r="H41" s="6"/>
      <c r="I41" s="6"/>
    </row>
    <row r="42" spans="2:9" x14ac:dyDescent="0.3">
      <c r="B42" s="21">
        <v>7</v>
      </c>
      <c r="C42" s="22">
        <f t="shared" ca="1" si="3"/>
        <v>46661</v>
      </c>
      <c r="D42" s="23">
        <v>4.7999999999999996E-3</v>
      </c>
      <c r="E42" s="19"/>
      <c r="F42" s="19"/>
      <c r="G42" s="20"/>
      <c r="H42" s="6"/>
      <c r="I42" s="6"/>
    </row>
    <row r="43" spans="2:9" x14ac:dyDescent="0.3">
      <c r="B43" s="21">
        <v>10</v>
      </c>
      <c r="C43" s="22">
        <f t="shared" ca="1" si="3"/>
        <v>47756</v>
      </c>
      <c r="D43" s="23">
        <v>7.0000000000000001E-3</v>
      </c>
      <c r="E43" s="19"/>
      <c r="F43" s="19"/>
      <c r="G43" s="20"/>
      <c r="H43" s="6"/>
      <c r="I43" s="6"/>
    </row>
    <row r="44" spans="2:9" x14ac:dyDescent="0.3">
      <c r="B44" s="21">
        <v>20</v>
      </c>
      <c r="C44" s="22">
        <f t="shared" ca="1" si="3"/>
        <v>51406</v>
      </c>
      <c r="D44" s="23">
        <v>1.2500000000000001E-2</v>
      </c>
      <c r="E44" s="19"/>
      <c r="F44" s="19"/>
      <c r="G44" s="20"/>
      <c r="H44" s="6"/>
      <c r="I44" s="6"/>
    </row>
    <row r="45" spans="2:9" x14ac:dyDescent="0.3">
      <c r="B45" s="21">
        <v>30</v>
      </c>
      <c r="C45" s="22">
        <f t="shared" ca="1" si="3"/>
        <v>55056</v>
      </c>
      <c r="D45" s="23">
        <v>1.4800000000000001E-2</v>
      </c>
      <c r="E45" s="19"/>
      <c r="F45" s="19"/>
      <c r="G45" s="20"/>
      <c r="H45" s="6"/>
      <c r="I45" s="6"/>
    </row>
    <row r="46" spans="2:9" x14ac:dyDescent="0.3">
      <c r="B46" s="19"/>
      <c r="C46" s="19"/>
      <c r="D46" s="19"/>
      <c r="E46" s="19"/>
      <c r="F46" s="19"/>
      <c r="G46" s="20"/>
      <c r="H46" s="6"/>
      <c r="I46" s="6"/>
    </row>
    <row r="47" spans="2:9" x14ac:dyDescent="0.3">
      <c r="B47" s="19"/>
      <c r="C47" s="19"/>
      <c r="D47" s="19"/>
      <c r="E47" s="19"/>
      <c r="F47" s="19"/>
      <c r="G47" s="20"/>
      <c r="H47" s="6"/>
      <c r="I47" s="6"/>
    </row>
    <row r="48" spans="2:9" x14ac:dyDescent="0.3">
      <c r="B48" s="19"/>
      <c r="C48" s="19"/>
      <c r="D48" s="19"/>
      <c r="E48" s="19"/>
      <c r="F48" s="19"/>
      <c r="G48" s="20"/>
      <c r="H48" s="6"/>
      <c r="I48" s="6"/>
    </row>
    <row r="49" spans="2:25" x14ac:dyDescent="0.3">
      <c r="B49" s="19"/>
      <c r="C49" s="19"/>
      <c r="D49" s="19"/>
      <c r="E49" s="19"/>
      <c r="F49" s="19"/>
      <c r="G49" s="20"/>
      <c r="H49" s="6"/>
      <c r="I49" s="6"/>
    </row>
    <row r="50" spans="2:25" x14ac:dyDescent="0.3">
      <c r="B50" s="2"/>
      <c r="C50" s="4"/>
      <c r="D50" s="5"/>
      <c r="E50" s="4"/>
      <c r="F50" s="5"/>
      <c r="G50" s="5"/>
      <c r="H50" s="6"/>
      <c r="I50" s="6"/>
    </row>
    <row r="52" spans="2:25" x14ac:dyDescent="0.3">
      <c r="B52" s="14" t="s">
        <v>56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33"/>
    </row>
    <row r="53" spans="2:25" ht="13.5" x14ac:dyDescent="0.35">
      <c r="B53" s="32" t="s">
        <v>0</v>
      </c>
      <c r="C53" s="18" t="s">
        <v>44</v>
      </c>
      <c r="D53" s="18" t="s">
        <v>31</v>
      </c>
      <c r="E53" s="18" t="s">
        <v>43</v>
      </c>
      <c r="F53" s="18" t="s">
        <v>7</v>
      </c>
      <c r="G53" s="18" t="s">
        <v>40</v>
      </c>
      <c r="H53" s="18" t="s">
        <v>41</v>
      </c>
      <c r="I53" s="18" t="s">
        <v>8</v>
      </c>
      <c r="J53" s="18" t="s">
        <v>9</v>
      </c>
      <c r="K53" s="18" t="s">
        <v>32</v>
      </c>
      <c r="L53" s="18" t="s">
        <v>42</v>
      </c>
      <c r="M53" s="18" t="s">
        <v>33</v>
      </c>
      <c r="N53" s="18" t="s">
        <v>35</v>
      </c>
      <c r="O53" s="18" t="s">
        <v>34</v>
      </c>
      <c r="P53" s="18" t="s">
        <v>36</v>
      </c>
      <c r="Q53" s="18" t="s">
        <v>30</v>
      </c>
      <c r="R53" s="18" t="s">
        <v>10</v>
      </c>
      <c r="S53" s="18" t="s">
        <v>11</v>
      </c>
      <c r="T53" s="18" t="s">
        <v>12</v>
      </c>
      <c r="U53" s="18" t="s">
        <v>57</v>
      </c>
      <c r="V53" s="18" t="s">
        <v>58</v>
      </c>
      <c r="W53" s="32"/>
      <c r="X53" s="18" t="s">
        <v>38</v>
      </c>
      <c r="Y53" s="18" t="s">
        <v>39</v>
      </c>
    </row>
    <row r="54" spans="2:25" x14ac:dyDescent="0.3">
      <c r="B54" s="19" t="s">
        <v>14</v>
      </c>
      <c r="C54" s="24">
        <f>264.25+1000</f>
        <v>1264.25</v>
      </c>
      <c r="D54" s="24">
        <f>2714.25-C54</f>
        <v>1450</v>
      </c>
      <c r="E54" s="24">
        <v>0</v>
      </c>
      <c r="F54" s="25">
        <f t="shared" ref="F54:F70" si="4">D54+C54</f>
        <v>2714.25</v>
      </c>
      <c r="G54" s="24">
        <v>0</v>
      </c>
      <c r="H54" s="25">
        <f>G54+F54</f>
        <v>2714.25</v>
      </c>
      <c r="I54" s="24">
        <v>301.13499999999999</v>
      </c>
      <c r="J54" s="25">
        <f>H54-I54</f>
        <v>2413.1149999999998</v>
      </c>
      <c r="K54" s="26">
        <v>56.706946000000002</v>
      </c>
      <c r="L54" s="26">
        <v>0</v>
      </c>
      <c r="M54" s="26">
        <v>4.9000000000000002E-2</v>
      </c>
      <c r="N54" s="26">
        <v>0.39500000000000002</v>
      </c>
      <c r="O54" s="26">
        <v>0.31</v>
      </c>
      <c r="P54" s="26">
        <f>MAX(0.362-0.362*34.49/R54,0)</f>
        <v>0</v>
      </c>
      <c r="Q54" s="27">
        <f>SUM(P54,O54,N54,M54,K54,L54)</f>
        <v>57.460946</v>
      </c>
      <c r="R54" s="28">
        <v>28.47</v>
      </c>
      <c r="S54" s="25">
        <f>R54*Q54</f>
        <v>1635.9131326199999</v>
      </c>
      <c r="T54" s="25">
        <f t="shared" ref="T54:T70" si="5">S54+J54</f>
        <v>4049.0281326199997</v>
      </c>
      <c r="U54" s="25">
        <f t="shared" ref="U54:U70" si="6">T54-C54</f>
        <v>2784.7781326199997</v>
      </c>
      <c r="V54" s="29">
        <f t="shared" ref="V54:V70" si="7">D54/U54</f>
        <v>0.52068780022909689</v>
      </c>
      <c r="W54" s="19"/>
      <c r="X54" s="30" t="s">
        <v>37</v>
      </c>
      <c r="Y54" s="31">
        <v>44012</v>
      </c>
    </row>
    <row r="55" spans="2:25" x14ac:dyDescent="0.3">
      <c r="B55" s="19" t="s">
        <v>28</v>
      </c>
      <c r="C55" s="24">
        <f>479+725</f>
        <v>1204</v>
      </c>
      <c r="D55" s="24">
        <f>949.49+500</f>
        <v>1449.49</v>
      </c>
      <c r="E55" s="24">
        <v>0</v>
      </c>
      <c r="F55" s="25">
        <f t="shared" si="4"/>
        <v>2653.49</v>
      </c>
      <c r="G55" s="24">
        <v>0</v>
      </c>
      <c r="H55" s="25">
        <f t="shared" ref="H55:H70" si="8">G55+F55</f>
        <v>2653.49</v>
      </c>
      <c r="I55" s="24">
        <v>295.95600000000002</v>
      </c>
      <c r="J55" s="25">
        <f t="shared" ref="J55:J70" si="9">H55-I55</f>
        <v>2357.5339999999997</v>
      </c>
      <c r="K55" s="26">
        <f>84.761944</f>
        <v>84.761944</v>
      </c>
      <c r="L55" s="26">
        <v>0</v>
      </c>
      <c r="M55" s="26">
        <v>0</v>
      </c>
      <c r="N55" s="26">
        <v>0</v>
      </c>
      <c r="O55" s="26">
        <v>6.2E-2</v>
      </c>
      <c r="P55" s="26">
        <f>MAX(6.122-6.122*52.08/R55,0)</f>
        <v>0</v>
      </c>
      <c r="Q55" s="27">
        <f t="shared" ref="Q55:Q70" si="10">SUM(P55,O55,N55,M55,K55,L55)</f>
        <v>84.823943999999997</v>
      </c>
      <c r="R55" s="28">
        <v>20.3</v>
      </c>
      <c r="S55" s="25">
        <f>R55*Q55</f>
        <v>1721.9260632</v>
      </c>
      <c r="T55" s="25">
        <f t="shared" si="5"/>
        <v>4079.4600631999997</v>
      </c>
      <c r="U55" s="25">
        <f t="shared" si="6"/>
        <v>2875.4600631999997</v>
      </c>
      <c r="V55" s="29">
        <f t="shared" si="7"/>
        <v>0.50408976933830651</v>
      </c>
      <c r="W55" s="19"/>
      <c r="X55" s="30" t="s">
        <v>37</v>
      </c>
      <c r="Y55" s="31">
        <v>44012</v>
      </c>
    </row>
    <row r="56" spans="2:25" x14ac:dyDescent="0.3">
      <c r="B56" s="19" t="s">
        <v>15</v>
      </c>
      <c r="C56" s="24">
        <v>0</v>
      </c>
      <c r="D56" s="24">
        <f>6960+40</f>
        <v>7000</v>
      </c>
      <c r="E56" s="24">
        <v>0</v>
      </c>
      <c r="F56" s="25">
        <f t="shared" si="4"/>
        <v>7000</v>
      </c>
      <c r="G56" s="24">
        <v>0</v>
      </c>
      <c r="H56" s="25">
        <f t="shared" si="8"/>
        <v>7000</v>
      </c>
      <c r="I56" s="24">
        <f>6274+7707</f>
        <v>13981</v>
      </c>
      <c r="J56" s="25">
        <f t="shared" si="9"/>
        <v>-6981</v>
      </c>
      <c r="K56" s="26">
        <v>617</v>
      </c>
      <c r="L56" s="26">
        <v>0</v>
      </c>
      <c r="M56" s="26">
        <v>0</v>
      </c>
      <c r="N56" s="26">
        <v>0</v>
      </c>
      <c r="O56" s="26">
        <f>17</f>
        <v>17</v>
      </c>
      <c r="P56" s="26">
        <v>0</v>
      </c>
      <c r="Q56" s="27">
        <f t="shared" si="10"/>
        <v>634</v>
      </c>
      <c r="R56" s="28">
        <v>543.38</v>
      </c>
      <c r="S56" s="25">
        <f t="shared" ref="S56:S70" si="11">R56*Q56</f>
        <v>344502.92</v>
      </c>
      <c r="T56" s="25">
        <f t="shared" si="5"/>
        <v>337521.91999999998</v>
      </c>
      <c r="U56" s="25">
        <f t="shared" si="6"/>
        <v>337521.91999999998</v>
      </c>
      <c r="V56" s="29">
        <f t="shared" si="7"/>
        <v>2.0739393755522605E-2</v>
      </c>
      <c r="W56" s="19"/>
      <c r="X56" s="30" t="s">
        <v>37</v>
      </c>
      <c r="Y56" s="31">
        <v>44012</v>
      </c>
    </row>
    <row r="57" spans="2:25" x14ac:dyDescent="0.3">
      <c r="B57" s="19" t="s">
        <v>16</v>
      </c>
      <c r="C57" s="24">
        <f>2316.404</f>
        <v>2316.404</v>
      </c>
      <c r="D57" s="24">
        <f>944.319+1494.293+1247.489</f>
        <v>3686.1010000000001</v>
      </c>
      <c r="E57" s="24">
        <v>100</v>
      </c>
      <c r="F57" s="25">
        <f t="shared" si="4"/>
        <v>6002.5050000000001</v>
      </c>
      <c r="G57" s="24">
        <f>25*9.2</f>
        <v>229.99999999999997</v>
      </c>
      <c r="H57" s="25">
        <f t="shared" si="8"/>
        <v>6232.5050000000001</v>
      </c>
      <c r="I57" s="24">
        <f>1015.348+27.345+1221.936+13.915</f>
        <v>2278.5439999999999</v>
      </c>
      <c r="J57" s="25">
        <f t="shared" si="9"/>
        <v>3953.9610000000002</v>
      </c>
      <c r="K57" s="26">
        <v>73.250611000000006</v>
      </c>
      <c r="L57" s="26">
        <v>1.025366</v>
      </c>
      <c r="M57" s="26">
        <v>0</v>
      </c>
      <c r="N57" s="26">
        <v>0</v>
      </c>
      <c r="O57" s="26">
        <v>3.5522680000000002</v>
      </c>
      <c r="P57" s="26">
        <f>MAX(1.013868-1.013868*102.17/R57,0)</f>
        <v>0</v>
      </c>
      <c r="Q57" s="27">
        <f t="shared" si="10"/>
        <v>77.82824500000001</v>
      </c>
      <c r="R57" s="28">
        <v>46.31</v>
      </c>
      <c r="S57" s="25">
        <f t="shared" si="11"/>
        <v>3604.2260259500008</v>
      </c>
      <c r="T57" s="25">
        <f t="shared" si="5"/>
        <v>7558.187025950001</v>
      </c>
      <c r="U57" s="25">
        <f t="shared" si="6"/>
        <v>5241.7830259500006</v>
      </c>
      <c r="V57" s="29">
        <f t="shared" si="7"/>
        <v>0.70321510481291727</v>
      </c>
      <c r="W57" s="19"/>
      <c r="X57" s="30" t="s">
        <v>37</v>
      </c>
      <c r="Y57" s="31">
        <v>44012</v>
      </c>
    </row>
    <row r="58" spans="2:25" x14ac:dyDescent="0.3">
      <c r="B58" s="19" t="s">
        <v>17</v>
      </c>
      <c r="C58" s="24">
        <v>0</v>
      </c>
      <c r="D58" s="24">
        <f>5824.925</f>
        <v>5824.9250000000002</v>
      </c>
      <c r="E58" s="24">
        <v>0</v>
      </c>
      <c r="F58" s="25">
        <f t="shared" si="4"/>
        <v>5824.9250000000002</v>
      </c>
      <c r="G58" s="24">
        <v>0</v>
      </c>
      <c r="H58" s="25">
        <f t="shared" si="8"/>
        <v>5824.9250000000002</v>
      </c>
      <c r="I58" s="24">
        <f>74.05+246</f>
        <v>320.05</v>
      </c>
      <c r="J58" s="25">
        <f t="shared" si="9"/>
        <v>5504.875</v>
      </c>
      <c r="K58" s="26">
        <f>217.829837</f>
        <v>217.829837</v>
      </c>
      <c r="L58" s="26">
        <v>0</v>
      </c>
      <c r="M58" s="26">
        <v>0</v>
      </c>
      <c r="N58" s="26">
        <v>1.423994</v>
      </c>
      <c r="O58" s="26">
        <f>0.309066</f>
        <v>0.30906600000000001</v>
      </c>
      <c r="P58" s="26">
        <v>0</v>
      </c>
      <c r="Q58" s="27">
        <f t="shared" si="10"/>
        <v>219.56289699999999</v>
      </c>
      <c r="R58" s="28">
        <v>37.21</v>
      </c>
      <c r="S58" s="25">
        <f t="shared" si="11"/>
        <v>8169.9353973699999</v>
      </c>
      <c r="T58" s="25">
        <f t="shared" si="5"/>
        <v>13674.81039737</v>
      </c>
      <c r="U58" s="25">
        <f t="shared" si="6"/>
        <v>13674.81039737</v>
      </c>
      <c r="V58" s="29">
        <f t="shared" si="7"/>
        <v>0.42596020206029883</v>
      </c>
      <c r="W58" s="19"/>
      <c r="X58" s="30" t="s">
        <v>37</v>
      </c>
      <c r="Y58" s="31">
        <v>44012</v>
      </c>
    </row>
    <row r="59" spans="2:25" x14ac:dyDescent="0.3">
      <c r="B59" s="19" t="s">
        <v>18</v>
      </c>
      <c r="C59" s="24">
        <v>0</v>
      </c>
      <c r="D59" s="24">
        <f>7653+1900</f>
        <v>9553</v>
      </c>
      <c r="E59" s="24">
        <v>0</v>
      </c>
      <c r="F59" s="25">
        <f t="shared" si="4"/>
        <v>9553</v>
      </c>
      <c r="G59" s="24">
        <f>1.2*1000</f>
        <v>1200</v>
      </c>
      <c r="H59" s="25">
        <f t="shared" si="8"/>
        <v>10753</v>
      </c>
      <c r="I59" s="24">
        <f>5053+422+618</f>
        <v>6093</v>
      </c>
      <c r="J59" s="25">
        <f t="shared" si="9"/>
        <v>4660</v>
      </c>
      <c r="K59" s="26">
        <f>135.703255+5.523452</f>
        <v>141.226707</v>
      </c>
      <c r="L59" s="26">
        <v>0</v>
      </c>
      <c r="M59" s="26">
        <v>0</v>
      </c>
      <c r="N59" s="26">
        <v>0</v>
      </c>
      <c r="O59" s="26">
        <v>4.13</v>
      </c>
      <c r="P59" s="26">
        <f>MAX(8.4-8.4*72/R59,0)+MAX(13.115-13.115*102.97/R59)</f>
        <v>0.40225245653817066</v>
      </c>
      <c r="Q59" s="27">
        <f t="shared" si="10"/>
        <v>145.75895945653818</v>
      </c>
      <c r="R59" s="28">
        <v>92.61</v>
      </c>
      <c r="S59" s="25">
        <f t="shared" si="11"/>
        <v>13498.73723527</v>
      </c>
      <c r="T59" s="25">
        <f t="shared" si="5"/>
        <v>18158.73723527</v>
      </c>
      <c r="U59" s="25">
        <f t="shared" si="6"/>
        <v>18158.73723527</v>
      </c>
      <c r="V59" s="29">
        <f t="shared" si="7"/>
        <v>0.52608283694116453</v>
      </c>
      <c r="W59" s="19"/>
      <c r="X59" s="30" t="s">
        <v>37</v>
      </c>
      <c r="Y59" s="31">
        <v>44012</v>
      </c>
    </row>
    <row r="60" spans="2:25" x14ac:dyDescent="0.3">
      <c r="B60" s="19" t="s">
        <v>19</v>
      </c>
      <c r="C60" s="24">
        <v>0</v>
      </c>
      <c r="D60" s="24">
        <f>11434.391</f>
        <v>11434.391</v>
      </c>
      <c r="E60" s="24">
        <v>0</v>
      </c>
      <c r="F60" s="25">
        <f t="shared" si="4"/>
        <v>11434.391</v>
      </c>
      <c r="G60" s="24">
        <v>0</v>
      </c>
      <c r="H60" s="25">
        <f t="shared" si="8"/>
        <v>11434.391</v>
      </c>
      <c r="I60" s="24">
        <f>4835.505+751</f>
        <v>5586.5050000000001</v>
      </c>
      <c r="J60" s="25">
        <f t="shared" si="9"/>
        <v>5847.8859999999995</v>
      </c>
      <c r="K60" s="26">
        <v>493.28116799999998</v>
      </c>
      <c r="L60" s="26">
        <v>0</v>
      </c>
      <c r="M60" s="26">
        <v>0</v>
      </c>
      <c r="N60" s="26">
        <v>0</v>
      </c>
      <c r="O60" s="26">
        <f>45.197</f>
        <v>45.197000000000003</v>
      </c>
      <c r="P60" s="26">
        <v>0</v>
      </c>
      <c r="Q60" s="27">
        <f t="shared" si="10"/>
        <v>538.47816799999998</v>
      </c>
      <c r="R60" s="28">
        <v>21.82</v>
      </c>
      <c r="S60" s="25">
        <f t="shared" si="11"/>
        <v>11749.593625760001</v>
      </c>
      <c r="T60" s="25">
        <f t="shared" si="5"/>
        <v>17597.479625759999</v>
      </c>
      <c r="U60" s="25">
        <f t="shared" si="6"/>
        <v>17597.479625759999</v>
      </c>
      <c r="V60" s="29">
        <f t="shared" si="7"/>
        <v>0.64977435650852022</v>
      </c>
      <c r="W60" s="19"/>
      <c r="X60" s="30" t="s">
        <v>37</v>
      </c>
      <c r="Y60" s="31">
        <v>44012</v>
      </c>
    </row>
    <row r="61" spans="2:25" x14ac:dyDescent="0.3">
      <c r="B61" s="19" t="s">
        <v>20</v>
      </c>
      <c r="C61" s="24">
        <v>0</v>
      </c>
      <c r="D61" s="24">
        <f>681.2+12478.9+3086.6+34675.6</f>
        <v>50922.3</v>
      </c>
      <c r="E61" s="24">
        <v>0</v>
      </c>
      <c r="F61" s="25">
        <f t="shared" si="4"/>
        <v>50922.3</v>
      </c>
      <c r="G61" s="24">
        <v>0</v>
      </c>
      <c r="H61" s="25">
        <f t="shared" si="8"/>
        <v>50922.3</v>
      </c>
      <c r="I61" s="24">
        <f>3255.7</f>
        <v>3255.7</v>
      </c>
      <c r="J61" s="25">
        <f t="shared" si="9"/>
        <v>47666.600000000006</v>
      </c>
      <c r="K61" s="26">
        <f>744.102514</f>
        <v>744.10251400000004</v>
      </c>
      <c r="L61" s="26">
        <v>0</v>
      </c>
      <c r="M61" s="26">
        <v>0</v>
      </c>
      <c r="N61" s="26">
        <v>0</v>
      </c>
      <c r="O61" s="26">
        <v>1.4</v>
      </c>
      <c r="P61" s="26">
        <f>MAX(14.6-14.6*124.21/R61,0)</f>
        <v>6.3734258755216846</v>
      </c>
      <c r="Q61" s="27">
        <f t="shared" si="10"/>
        <v>751.87593987552168</v>
      </c>
      <c r="R61" s="28">
        <v>220.44</v>
      </c>
      <c r="S61" s="25">
        <f t="shared" si="11"/>
        <v>165743.53218616001</v>
      </c>
      <c r="T61" s="25">
        <f t="shared" si="5"/>
        <v>213410.13218616002</v>
      </c>
      <c r="U61" s="25">
        <f t="shared" si="6"/>
        <v>213410.13218616002</v>
      </c>
      <c r="V61" s="29">
        <f t="shared" si="7"/>
        <v>0.23861238207556104</v>
      </c>
      <c r="W61" s="19"/>
      <c r="X61" s="30" t="s">
        <v>37</v>
      </c>
      <c r="Y61" s="31">
        <v>44012</v>
      </c>
    </row>
    <row r="62" spans="2:25" x14ac:dyDescent="0.3">
      <c r="B62" s="19" t="s">
        <v>21</v>
      </c>
      <c r="C62" s="24">
        <v>0</v>
      </c>
      <c r="D62" s="24">
        <f>67407+7671</f>
        <v>75078</v>
      </c>
      <c r="E62" s="24"/>
      <c r="F62" s="25">
        <f t="shared" si="4"/>
        <v>75078</v>
      </c>
      <c r="G62" s="24"/>
      <c r="H62" s="25">
        <f t="shared" si="8"/>
        <v>75078</v>
      </c>
      <c r="I62" s="24">
        <f>136527+2965</f>
        <v>139492</v>
      </c>
      <c r="J62" s="25">
        <f t="shared" si="9"/>
        <v>-64414</v>
      </c>
      <c r="K62" s="26">
        <f>7567.652935</f>
        <v>7567.6529350000001</v>
      </c>
      <c r="L62" s="26">
        <v>0</v>
      </c>
      <c r="M62" s="26">
        <v>0</v>
      </c>
      <c r="N62" s="26">
        <v>0</v>
      </c>
      <c r="O62" s="26">
        <f>126</f>
        <v>126</v>
      </c>
      <c r="P62" s="26">
        <v>0</v>
      </c>
      <c r="Q62" s="27">
        <f t="shared" si="10"/>
        <v>7693.6529350000001</v>
      </c>
      <c r="R62" s="28">
        <v>212.82</v>
      </c>
      <c r="S62" s="25">
        <f t="shared" si="11"/>
        <v>1637363.2176266999</v>
      </c>
      <c r="T62" s="25">
        <f t="shared" si="5"/>
        <v>1572949.2176266999</v>
      </c>
      <c r="U62" s="25">
        <f t="shared" si="6"/>
        <v>1572949.2176266999</v>
      </c>
      <c r="V62" s="29">
        <f t="shared" si="7"/>
        <v>4.7730720838705346E-2</v>
      </c>
      <c r="W62" s="19"/>
      <c r="X62" s="30" t="s">
        <v>45</v>
      </c>
      <c r="Y62" s="31">
        <v>44012</v>
      </c>
    </row>
    <row r="63" spans="2:25" x14ac:dyDescent="0.3">
      <c r="B63" s="19" t="s">
        <v>22</v>
      </c>
      <c r="C63" s="24">
        <v>0</v>
      </c>
      <c r="D63" s="24">
        <f>15794.159</f>
        <v>15794.159</v>
      </c>
      <c r="E63" s="24">
        <v>0</v>
      </c>
      <c r="F63" s="25">
        <f t="shared" si="4"/>
        <v>15794.159</v>
      </c>
      <c r="G63" s="24">
        <v>0</v>
      </c>
      <c r="H63" s="25">
        <f t="shared" si="8"/>
        <v>15794.159</v>
      </c>
      <c r="I63" s="24">
        <f>7153.248</f>
        <v>7153.2479999999996</v>
      </c>
      <c r="J63" s="25">
        <f t="shared" si="9"/>
        <v>8640.9110000000001</v>
      </c>
      <c r="K63" s="26">
        <f>441.015443</f>
        <v>441.015443</v>
      </c>
      <c r="L63" s="26">
        <v>0</v>
      </c>
      <c r="M63" s="26">
        <v>0</v>
      </c>
      <c r="N63" s="26">
        <v>0</v>
      </c>
      <c r="O63" s="26">
        <v>0</v>
      </c>
      <c r="P63" s="26">
        <f>MAX(19.745602-19.745602*145.42/R63,0)</f>
        <v>14.115064041218112</v>
      </c>
      <c r="Q63" s="27">
        <f t="shared" si="10"/>
        <v>455.1305070412181</v>
      </c>
      <c r="R63" s="28">
        <v>509.97</v>
      </c>
      <c r="S63" s="25">
        <f t="shared" si="11"/>
        <v>232102.90467581002</v>
      </c>
      <c r="T63" s="25">
        <f t="shared" si="5"/>
        <v>240743.81567581001</v>
      </c>
      <c r="U63" s="25">
        <f t="shared" si="6"/>
        <v>240743.81567581001</v>
      </c>
      <c r="V63" s="29">
        <f t="shared" si="7"/>
        <v>6.5605668646827056E-2</v>
      </c>
      <c r="W63" s="19"/>
      <c r="X63" s="30" t="s">
        <v>37</v>
      </c>
      <c r="Y63" s="31">
        <v>44012</v>
      </c>
    </row>
    <row r="64" spans="2:25" x14ac:dyDescent="0.3">
      <c r="B64" s="19" t="s">
        <v>23</v>
      </c>
      <c r="C64" s="24">
        <v>0</v>
      </c>
      <c r="D64" s="24">
        <f>417+922+10824</f>
        <v>12163</v>
      </c>
      <c r="E64" s="24">
        <v>0</v>
      </c>
      <c r="F64" s="25">
        <f t="shared" si="4"/>
        <v>12163</v>
      </c>
      <c r="G64" s="24">
        <v>0</v>
      </c>
      <c r="H64" s="25">
        <f t="shared" si="8"/>
        <v>12163</v>
      </c>
      <c r="I64" s="24">
        <f>10404+2946</f>
        <v>13350</v>
      </c>
      <c r="J64" s="25">
        <f t="shared" si="9"/>
        <v>-1187</v>
      </c>
      <c r="K64" s="26">
        <f>40.948631</f>
        <v>40.948630999999999</v>
      </c>
      <c r="L64" s="26">
        <v>0</v>
      </c>
      <c r="M64" s="26">
        <v>0</v>
      </c>
      <c r="N64" s="26">
        <v>7.9958000000000001E-2</v>
      </c>
      <c r="O64" s="26">
        <v>0.33631299999999997</v>
      </c>
      <c r="P64" s="26">
        <f>MAX(863/1886.44-863/R64,0)+MAX(1000/2055.5-1000/R64,0)+MAX(0.165042-0.165042*1400/R64)</f>
        <v>3.243782317055674E-2</v>
      </c>
      <c r="Q64" s="27">
        <f t="shared" si="10"/>
        <v>41.397339823170554</v>
      </c>
      <c r="R64" s="28">
        <v>1742.47</v>
      </c>
      <c r="S64" s="25">
        <f t="shared" si="11"/>
        <v>72133.622721680003</v>
      </c>
      <c r="T64" s="25">
        <f t="shared" si="5"/>
        <v>70946.622721680003</v>
      </c>
      <c r="U64" s="25">
        <f t="shared" si="6"/>
        <v>70946.622721680003</v>
      </c>
      <c r="V64" s="29">
        <f t="shared" si="7"/>
        <v>0.17143874554416538</v>
      </c>
      <c r="W64" s="19"/>
      <c r="X64" s="30" t="s">
        <v>37</v>
      </c>
      <c r="Y64" s="31">
        <v>44012</v>
      </c>
    </row>
    <row r="65" spans="2:25" x14ac:dyDescent="0.3">
      <c r="B65" s="19" t="s">
        <v>24</v>
      </c>
      <c r="C65" s="24">
        <v>0</v>
      </c>
      <c r="D65" s="24">
        <f>1480+4600+830+11798</f>
        <v>18708</v>
      </c>
      <c r="E65" s="24">
        <v>0</v>
      </c>
      <c r="F65" s="25">
        <f t="shared" si="4"/>
        <v>18708</v>
      </c>
      <c r="G65" s="24">
        <v>0</v>
      </c>
      <c r="H65" s="25">
        <f t="shared" si="8"/>
        <v>18708</v>
      </c>
      <c r="I65" s="24">
        <f>2283+148</f>
        <v>2431</v>
      </c>
      <c r="J65" s="25">
        <f t="shared" si="9"/>
        <v>16277</v>
      </c>
      <c r="K65" s="26">
        <f>324.315074</f>
        <v>324.31507399999998</v>
      </c>
      <c r="L65" s="26">
        <v>0</v>
      </c>
      <c r="M65" s="26">
        <v>0</v>
      </c>
      <c r="N65" s="26">
        <v>0</v>
      </c>
      <c r="O65" s="26">
        <f>4.1</f>
        <v>4.0999999999999996</v>
      </c>
      <c r="P65" s="26">
        <v>0</v>
      </c>
      <c r="Q65" s="27">
        <f t="shared" si="10"/>
        <v>328.415074</v>
      </c>
      <c r="R65" s="28">
        <v>93.93</v>
      </c>
      <c r="S65" s="25">
        <f t="shared" si="11"/>
        <v>30848.027900820001</v>
      </c>
      <c r="T65" s="25">
        <f t="shared" si="5"/>
        <v>47125.027900820001</v>
      </c>
      <c r="U65" s="25">
        <f t="shared" si="6"/>
        <v>47125.027900820001</v>
      </c>
      <c r="V65" s="29">
        <f t="shared" si="7"/>
        <v>0.3969865023607651</v>
      </c>
      <c r="W65" s="19"/>
      <c r="X65" s="30" t="s">
        <v>37</v>
      </c>
      <c r="Y65" s="31">
        <v>44012</v>
      </c>
    </row>
    <row r="66" spans="2:25" x14ac:dyDescent="0.3">
      <c r="B66" s="19" t="s">
        <v>25</v>
      </c>
      <c r="C66" s="24">
        <v>0</v>
      </c>
      <c r="D66" s="24">
        <f>26+61+3625</f>
        <v>3712</v>
      </c>
      <c r="E66" s="24">
        <v>0</v>
      </c>
      <c r="F66" s="25">
        <f t="shared" si="4"/>
        <v>3712</v>
      </c>
      <c r="G66" s="24"/>
      <c r="H66" s="25">
        <f t="shared" si="8"/>
        <v>3712</v>
      </c>
      <c r="I66" s="24">
        <f>1073+58+353</f>
        <v>1484</v>
      </c>
      <c r="J66" s="25">
        <f t="shared" si="9"/>
        <v>2228</v>
      </c>
      <c r="K66" s="26">
        <v>591.00294899999994</v>
      </c>
      <c r="L66" s="26">
        <v>0</v>
      </c>
      <c r="M66" s="26">
        <v>0</v>
      </c>
      <c r="N66" s="26">
        <v>1</v>
      </c>
      <c r="O66" s="26">
        <v>4</v>
      </c>
      <c r="P66" s="26">
        <f>MAX(250/16.77-250/R66,0)+MAX(625/20.41-625/R66,0)</f>
        <v>3.4625093528404154</v>
      </c>
      <c r="Q66" s="27">
        <f t="shared" si="10"/>
        <v>599.46545835284041</v>
      </c>
      <c r="R66" s="28">
        <v>20.8</v>
      </c>
      <c r="S66" s="25">
        <f t="shared" si="11"/>
        <v>12468.881533739081</v>
      </c>
      <c r="T66" s="25">
        <f t="shared" si="5"/>
        <v>14696.881533739081</v>
      </c>
      <c r="U66" s="25">
        <f t="shared" si="6"/>
        <v>14696.881533739081</v>
      </c>
      <c r="V66" s="29">
        <f t="shared" si="7"/>
        <v>0.25257058726904075</v>
      </c>
      <c r="W66" s="19"/>
      <c r="X66" s="30" t="s">
        <v>46</v>
      </c>
      <c r="Y66" s="31">
        <v>44015</v>
      </c>
    </row>
    <row r="67" spans="2:25" x14ac:dyDescent="0.3">
      <c r="B67" s="19" t="s">
        <v>26</v>
      </c>
      <c r="C67" s="24">
        <f>122.189</f>
        <v>122.18899999999999</v>
      </c>
      <c r="D67" s="24">
        <f>800+284.934+2670</f>
        <v>3754.9340000000002</v>
      </c>
      <c r="E67" s="24">
        <v>0</v>
      </c>
      <c r="F67" s="25">
        <f t="shared" si="4"/>
        <v>3877.123</v>
      </c>
      <c r="G67" s="24">
        <v>0</v>
      </c>
      <c r="H67" s="25">
        <f t="shared" si="8"/>
        <v>3877.123</v>
      </c>
      <c r="I67" s="24">
        <f>559.348+161.54</f>
        <v>720.88799999999992</v>
      </c>
      <c r="J67" s="25">
        <f t="shared" si="9"/>
        <v>3156.2350000000001</v>
      </c>
      <c r="K67" s="26">
        <f>126.183</f>
        <v>126.18300000000001</v>
      </c>
      <c r="L67" s="26">
        <v>0</v>
      </c>
      <c r="M67" s="26">
        <v>0</v>
      </c>
      <c r="N67" s="26">
        <f>0.645538</f>
        <v>0.64553799999999995</v>
      </c>
      <c r="O67" s="26">
        <f>1.137936</f>
        <v>1.1379360000000001</v>
      </c>
      <c r="P67" s="26">
        <f>MAX(4.78-4.78*30.59/R67,0)</f>
        <v>1.7922558234572947</v>
      </c>
      <c r="Q67" s="27">
        <f t="shared" si="10"/>
        <v>129.75872982345732</v>
      </c>
      <c r="R67" s="28">
        <v>48.94</v>
      </c>
      <c r="S67" s="25">
        <f t="shared" si="11"/>
        <v>6350.3922375600005</v>
      </c>
      <c r="T67" s="25">
        <f t="shared" si="5"/>
        <v>9506.6272375600001</v>
      </c>
      <c r="U67" s="25">
        <f t="shared" si="6"/>
        <v>9384.4382375599998</v>
      </c>
      <c r="V67" s="29">
        <f t="shared" si="7"/>
        <v>0.40012347089369321</v>
      </c>
      <c r="W67" s="19"/>
      <c r="X67" s="30" t="s">
        <v>47</v>
      </c>
      <c r="Y67" s="31">
        <v>44043</v>
      </c>
    </row>
    <row r="68" spans="2:25" x14ac:dyDescent="0.3">
      <c r="B68" s="19" t="s">
        <v>27</v>
      </c>
      <c r="C68" s="24">
        <v>10600</v>
      </c>
      <c r="D68" s="24">
        <f>3270+102200+17821+18158</f>
        <v>141449</v>
      </c>
      <c r="E68" s="24">
        <v>0</v>
      </c>
      <c r="F68" s="25">
        <f t="shared" si="4"/>
        <v>152049</v>
      </c>
      <c r="G68" s="24">
        <v>0</v>
      </c>
      <c r="H68" s="25">
        <f t="shared" si="8"/>
        <v>152049</v>
      </c>
      <c r="I68" s="24">
        <f>7882</f>
        <v>7882</v>
      </c>
      <c r="J68" s="25">
        <f t="shared" si="9"/>
        <v>144167</v>
      </c>
      <c r="K68" s="26">
        <v>4138.0538699999997</v>
      </c>
      <c r="L68" s="26">
        <v>0</v>
      </c>
      <c r="M68" s="26">
        <v>0</v>
      </c>
      <c r="N68" s="26">
        <v>15.551</v>
      </c>
      <c r="O68" s="26">
        <f>7.259+14.713</f>
        <v>21.972000000000001</v>
      </c>
      <c r="P68" s="26">
        <v>0</v>
      </c>
      <c r="Q68" s="27">
        <f t="shared" si="10"/>
        <v>4175.5768699999999</v>
      </c>
      <c r="R68" s="28">
        <v>59.4</v>
      </c>
      <c r="S68" s="25">
        <f t="shared" si="11"/>
        <v>248029.26607799999</v>
      </c>
      <c r="T68" s="25">
        <f t="shared" si="5"/>
        <v>392196.26607799996</v>
      </c>
      <c r="U68" s="25">
        <f t="shared" si="6"/>
        <v>381596.26607799996</v>
      </c>
      <c r="V68" s="29">
        <f t="shared" si="7"/>
        <v>0.3706771071263239</v>
      </c>
      <c r="W68" s="19"/>
      <c r="X68" s="30" t="s">
        <v>37</v>
      </c>
      <c r="Y68" s="31">
        <v>44012</v>
      </c>
    </row>
    <row r="69" spans="2:25" x14ac:dyDescent="0.3">
      <c r="B69" s="19" t="s">
        <v>29</v>
      </c>
      <c r="C69" s="24">
        <v>2105.3069999999998</v>
      </c>
      <c r="D69" s="24">
        <f>575+329</f>
        <v>904</v>
      </c>
      <c r="E69" s="24">
        <v>0</v>
      </c>
      <c r="F69" s="25">
        <f t="shared" si="4"/>
        <v>3009.3069999999998</v>
      </c>
      <c r="G69" s="24">
        <v>0</v>
      </c>
      <c r="H69" s="25">
        <f t="shared" si="8"/>
        <v>3009.3069999999998</v>
      </c>
      <c r="I69" s="24">
        <f>26.295</f>
        <v>26.295000000000002</v>
      </c>
      <c r="J69" s="25">
        <f t="shared" si="9"/>
        <v>2983.0119999999997</v>
      </c>
      <c r="K69" s="26">
        <f>90.71159</f>
        <v>90.711590000000001</v>
      </c>
      <c r="L69" s="26">
        <f>9.586528</f>
        <v>9.5865279999999995</v>
      </c>
      <c r="M69" s="26">
        <v>0</v>
      </c>
      <c r="N69" s="26">
        <v>0</v>
      </c>
      <c r="O69" s="26">
        <v>1.7076000000000001E-2</v>
      </c>
      <c r="P69" s="26">
        <v>0</v>
      </c>
      <c r="Q69" s="27">
        <f t="shared" si="10"/>
        <v>100.31519400000001</v>
      </c>
      <c r="R69" s="28">
        <v>12.55</v>
      </c>
      <c r="S69" s="25">
        <f t="shared" si="11"/>
        <v>1258.9556847000001</v>
      </c>
      <c r="T69" s="25">
        <f t="shared" si="5"/>
        <v>4241.9676847000001</v>
      </c>
      <c r="U69" s="25">
        <f t="shared" si="6"/>
        <v>2136.6606847000003</v>
      </c>
      <c r="V69" s="29">
        <f t="shared" si="7"/>
        <v>0.42309010807063496</v>
      </c>
      <c r="W69" s="19"/>
      <c r="X69" s="30" t="s">
        <v>37</v>
      </c>
      <c r="Y69" s="31">
        <v>44012</v>
      </c>
    </row>
    <row r="70" spans="2:25" x14ac:dyDescent="0.3">
      <c r="C70" s="1"/>
      <c r="D70" s="1"/>
      <c r="E70" s="1"/>
      <c r="F70" s="2"/>
      <c r="G70" s="1"/>
      <c r="H70" s="2"/>
      <c r="I70" s="1"/>
      <c r="J70" s="2"/>
      <c r="K70" s="8"/>
      <c r="L70" s="8"/>
      <c r="M70" s="8"/>
      <c r="N70" s="8"/>
      <c r="O70" s="8"/>
      <c r="P70" s="8"/>
      <c r="Q70" s="9"/>
      <c r="R70" s="10"/>
      <c r="S70" s="2"/>
      <c r="T70" s="2"/>
      <c r="U70" s="2"/>
      <c r="V70" s="3"/>
      <c r="X70" s="11"/>
      <c r="Y70" s="12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Fleisher</dc:creator>
  <cp:lastModifiedBy>Christopher Fleisher</cp:lastModifiedBy>
  <dcterms:created xsi:type="dcterms:W3CDTF">2020-09-30T15:09:15Z</dcterms:created>
  <dcterms:modified xsi:type="dcterms:W3CDTF">2020-10-02T22:49:46Z</dcterms:modified>
</cp:coreProperties>
</file>